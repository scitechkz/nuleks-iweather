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FADIPE\Desktop\Build Files\"/>
    </mc:Choice>
  </mc:AlternateContent>
  <xr:revisionPtr revIDLastSave="0" documentId="13_ncr:1_{0D0B9633-A307-4006-B6CF-AD22DF7117A2}" xr6:coauthVersionLast="47" xr6:coauthVersionMax="47" xr10:uidLastSave="{00000000-0000-0000-0000-000000000000}"/>
  <bookViews>
    <workbookView xWindow="-110" yWindow="-110" windowWidth="19420" windowHeight="10420" tabRatio="642" xr2:uid="{00000000-000D-0000-FFFF-FFFF00000000}"/>
  </bookViews>
  <sheets>
    <sheet name="BOM csv data" sheetId="5" r:id="rId1"/>
    <sheet name="Climate" sheetId="4" r:id="rId2"/>
    <sheet name="Weather Calculation" sheetId="3" r:id="rId3"/>
    <sheet name="Critical Site Works Summary" sheetId="2" r:id="rId4"/>
    <sheet name="Rain+Other Factors" sheetId="6" r:id="rId5"/>
    <sheet name="Project Site Calendar" sheetId="7" r:id="rId6"/>
    <sheet name="Logic Review" sheetId="10" state="hidden" r:id="rId7"/>
  </sheets>
  <definedNames>
    <definedName name="DaysPerYearRatio">'Project Site Calendar'!$U$38</definedName>
    <definedName name="HoursPerDayRatio">'Project Site Calendar'!$AF$15</definedName>
    <definedName name="_xlnm.Print_Area" localSheetId="3">'Critical Site Works Summary'!$A$2:$CZ$62</definedName>
    <definedName name="_xlnm.Print_Area" localSheetId="2">'Weather Calculation'!$A$1:$T$23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3" l="1"/>
  <c r="I30" i="7"/>
  <c r="C34" i="3"/>
  <c r="H65" i="3"/>
  <c r="F20" i="6" l="1"/>
  <c r="E11" i="6"/>
  <c r="E9" i="6"/>
  <c r="E8" i="6"/>
  <c r="C20" i="6" s="1"/>
  <c r="D20" i="6"/>
  <c r="M10" i="6"/>
  <c r="E22" i="6" s="1"/>
  <c r="AF12" i="7"/>
  <c r="AF15" i="7" s="1"/>
  <c r="DC10" i="2" s="1"/>
  <c r="M9" i="6"/>
  <c r="I9" i="6"/>
  <c r="B47" i="3"/>
  <c r="C47" i="3"/>
  <c r="D47" i="3"/>
  <c r="B48" i="3"/>
  <c r="C48" i="3"/>
  <c r="B49" i="3"/>
  <c r="C49" i="3"/>
  <c r="D49" i="3" s="1"/>
  <c r="B50" i="3"/>
  <c r="C50" i="3"/>
  <c r="D50" i="3"/>
  <c r="I68" i="3"/>
  <c r="J68" i="3" s="1"/>
  <c r="K68" i="3" s="1"/>
  <c r="L68" i="3" s="1"/>
  <c r="M68" i="3" s="1"/>
  <c r="N68" i="3" s="1"/>
  <c r="O68" i="3" s="1"/>
  <c r="P68" i="3" s="1"/>
  <c r="Q68" i="3" s="1"/>
  <c r="R68" i="3" s="1"/>
  <c r="S68" i="3" s="1"/>
  <c r="B33" i="3"/>
  <c r="C33" i="3"/>
  <c r="D33" i="3" s="1"/>
  <c r="B34" i="3"/>
  <c r="D34" i="3"/>
  <c r="B35" i="3"/>
  <c r="C35" i="3"/>
  <c r="B36" i="3"/>
  <c r="C36" i="3"/>
  <c r="B40" i="3"/>
  <c r="C40" i="3"/>
  <c r="B41" i="3"/>
  <c r="C41" i="3"/>
  <c r="D41" i="3" s="1"/>
  <c r="B42" i="3"/>
  <c r="C42" i="3"/>
  <c r="D42" i="3"/>
  <c r="B43" i="3"/>
  <c r="C43" i="3"/>
  <c r="B54" i="3"/>
  <c r="C54" i="3"/>
  <c r="B55" i="3"/>
  <c r="C55" i="3"/>
  <c r="D55" i="3" s="1"/>
  <c r="B56" i="3"/>
  <c r="C56" i="3"/>
  <c r="D56" i="3"/>
  <c r="B57" i="3"/>
  <c r="C57" i="3"/>
  <c r="AT42" i="2"/>
  <c r="AU42" i="2"/>
  <c r="AV42" i="2"/>
  <c r="AW42" i="2"/>
  <c r="AX42" i="2"/>
  <c r="AY42" i="2"/>
  <c r="AZ42" i="2"/>
  <c r="BA42" i="2"/>
  <c r="BB42" i="2"/>
  <c r="BC42" i="2"/>
  <c r="BD42" i="2"/>
  <c r="BE42" i="2"/>
  <c r="BF42" i="2"/>
  <c r="BG42" i="2"/>
  <c r="BH42" i="2"/>
  <c r="BI42" i="2"/>
  <c r="BJ42" i="2"/>
  <c r="BK42" i="2"/>
  <c r="BL42" i="2"/>
  <c r="BM42" i="2"/>
  <c r="BN42" i="2"/>
  <c r="BO42" i="2"/>
  <c r="BP42" i="2"/>
  <c r="BQ42" i="2"/>
  <c r="BR42" i="2"/>
  <c r="BS42" i="2"/>
  <c r="BT42" i="2"/>
  <c r="BU42" i="2"/>
  <c r="BV42" i="2"/>
  <c r="BW42" i="2"/>
  <c r="BX42" i="2"/>
  <c r="BY42" i="2"/>
  <c r="BZ42" i="2"/>
  <c r="CA42" i="2"/>
  <c r="CB42" i="2"/>
  <c r="CC42" i="2"/>
  <c r="CD42" i="2"/>
  <c r="CE42" i="2"/>
  <c r="CF42" i="2"/>
  <c r="CG42" i="2"/>
  <c r="CH42" i="2"/>
  <c r="CI42" i="2"/>
  <c r="CJ42" i="2"/>
  <c r="CK42" i="2"/>
  <c r="CL42" i="2"/>
  <c r="CM42" i="2"/>
  <c r="CN42" i="2"/>
  <c r="CO42" i="2"/>
  <c r="CP42" i="2"/>
  <c r="CQ42" i="2"/>
  <c r="CR42" i="2"/>
  <c r="CS42" i="2"/>
  <c r="CT42" i="2"/>
  <c r="CU42" i="2"/>
  <c r="CV42" i="2"/>
  <c r="CW42" i="2"/>
  <c r="CX42" i="2"/>
  <c r="CY42" i="2"/>
  <c r="CZ42" i="2"/>
  <c r="P76" i="3"/>
  <c r="Q76" i="3"/>
  <c r="R76" i="3"/>
  <c r="S76" i="3"/>
  <c r="H76" i="3"/>
  <c r="I76" i="3"/>
  <c r="J76" i="3"/>
  <c r="K76" i="3"/>
  <c r="L76" i="3"/>
  <c r="M76" i="3"/>
  <c r="N76" i="3"/>
  <c r="O76" i="3"/>
  <c r="P77" i="3"/>
  <c r="Q77" i="3"/>
  <c r="R77" i="3"/>
  <c r="S77" i="3"/>
  <c r="H77" i="3"/>
  <c r="I77" i="3"/>
  <c r="J77" i="3"/>
  <c r="K77" i="3"/>
  <c r="L77" i="3"/>
  <c r="M77" i="3"/>
  <c r="N77" i="3"/>
  <c r="O77" i="3"/>
  <c r="P78" i="3"/>
  <c r="Q78" i="3"/>
  <c r="R78" i="3"/>
  <c r="S78" i="3"/>
  <c r="H78" i="3"/>
  <c r="I78" i="3"/>
  <c r="J78" i="3"/>
  <c r="K78" i="3"/>
  <c r="L78" i="3"/>
  <c r="M78" i="3"/>
  <c r="N78" i="3"/>
  <c r="O78" i="3"/>
  <c r="P79" i="3"/>
  <c r="Q79" i="3"/>
  <c r="R79" i="3"/>
  <c r="S79" i="3"/>
  <c r="H79" i="3"/>
  <c r="I79" i="3"/>
  <c r="J79" i="3"/>
  <c r="K79" i="3"/>
  <c r="L79" i="3"/>
  <c r="M79" i="3"/>
  <c r="N79" i="3"/>
  <c r="O79" i="3"/>
  <c r="P80" i="3"/>
  <c r="Q80" i="3"/>
  <c r="R80" i="3"/>
  <c r="S80" i="3"/>
  <c r="H80" i="3"/>
  <c r="I80" i="3"/>
  <c r="J80" i="3"/>
  <c r="K80" i="3"/>
  <c r="L80" i="3"/>
  <c r="M80" i="3"/>
  <c r="N80" i="3"/>
  <c r="O80" i="3"/>
  <c r="P81" i="3"/>
  <c r="Q81" i="3"/>
  <c r="R81" i="3"/>
  <c r="S81" i="3"/>
  <c r="H81" i="3"/>
  <c r="I81" i="3"/>
  <c r="J81" i="3"/>
  <c r="K81" i="3"/>
  <c r="L81" i="3"/>
  <c r="M81" i="3"/>
  <c r="N81" i="3"/>
  <c r="O81" i="3"/>
  <c r="B13" i="4"/>
  <c r="B11" i="4"/>
  <c r="M11" i="4"/>
  <c r="M9" i="4"/>
  <c r="L11" i="4"/>
  <c r="L9" i="4"/>
  <c r="K11" i="4"/>
  <c r="K9" i="4"/>
  <c r="J11" i="4"/>
  <c r="J9" i="4"/>
  <c r="I11" i="4"/>
  <c r="I9" i="4"/>
  <c r="H11" i="4"/>
  <c r="H9" i="4"/>
  <c r="H10" i="4" s="1"/>
  <c r="G11" i="4"/>
  <c r="G9" i="4"/>
  <c r="F11" i="4"/>
  <c r="F9" i="4"/>
  <c r="E11" i="4"/>
  <c r="E9" i="4"/>
  <c r="E10" i="4" s="1"/>
  <c r="D11" i="4"/>
  <c r="D9" i="4"/>
  <c r="C11" i="4"/>
  <c r="C9" i="4"/>
  <c r="B9" i="4"/>
  <c r="I9" i="2"/>
  <c r="J9" i="2" s="1"/>
  <c r="D12" i="2"/>
  <c r="E12" i="2" s="1"/>
  <c r="D14" i="2" s="1"/>
  <c r="E14" i="2" s="1"/>
  <c r="D16" i="2" s="1"/>
  <c r="D31" i="10"/>
  <c r="D21" i="10"/>
  <c r="D16" i="10"/>
  <c r="D17" i="10"/>
  <c r="E10" i="10"/>
  <c r="E9" i="10"/>
  <c r="L8" i="10"/>
  <c r="E8" i="10"/>
  <c r="E7" i="10"/>
  <c r="D6" i="10"/>
  <c r="E6" i="10" s="1"/>
  <c r="D23" i="10"/>
  <c r="B64" i="3"/>
  <c r="B63" i="3"/>
  <c r="B62" i="3"/>
  <c r="C64" i="3"/>
  <c r="C63" i="3"/>
  <c r="C62" i="3"/>
  <c r="C61" i="3"/>
  <c r="B61" i="3"/>
  <c r="A209" i="4"/>
  <c r="J33" i="7"/>
  <c r="K33" i="7"/>
  <c r="L33" i="7"/>
  <c r="M33" i="7"/>
  <c r="N33" i="7"/>
  <c r="O33" i="7"/>
  <c r="P33" i="7"/>
  <c r="Q33" i="7"/>
  <c r="R33" i="7"/>
  <c r="S33" i="7"/>
  <c r="T33" i="7"/>
  <c r="U21" i="7"/>
  <c r="L35" i="7"/>
  <c r="O35" i="7"/>
  <c r="I19" i="3"/>
  <c r="J19" i="3" s="1"/>
  <c r="K19" i="3" s="1"/>
  <c r="L19" i="3" s="1"/>
  <c r="M19" i="3" s="1"/>
  <c r="N19" i="3" s="1"/>
  <c r="O19" i="3" s="1"/>
  <c r="P19" i="3" s="1"/>
  <c r="Q19" i="3" s="1"/>
  <c r="R19" i="3" s="1"/>
  <c r="S19" i="3" s="1"/>
  <c r="U11" i="6"/>
  <c r="F24" i="6" s="1"/>
  <c r="D64" i="3"/>
  <c r="U10" i="6"/>
  <c r="D63" i="3" s="1"/>
  <c r="U9" i="6"/>
  <c r="D62" i="3"/>
  <c r="U8" i="6"/>
  <c r="D61" i="3" s="1"/>
  <c r="C24" i="6"/>
  <c r="D24" i="6"/>
  <c r="E24" i="6"/>
  <c r="F12" i="3"/>
  <c r="F11" i="3"/>
  <c r="F10" i="3"/>
  <c r="F9" i="3"/>
  <c r="F8" i="3"/>
  <c r="F7" i="3"/>
  <c r="A7" i="2"/>
  <c r="I26" i="3"/>
  <c r="J26" i="3"/>
  <c r="K26" i="3" s="1"/>
  <c r="L26" i="3" s="1"/>
  <c r="M26" i="3" s="1"/>
  <c r="N26" i="3" s="1"/>
  <c r="O26" i="3" s="1"/>
  <c r="P26" i="3" s="1"/>
  <c r="Q26" i="3" s="1"/>
  <c r="R26" i="3" s="1"/>
  <c r="S26" i="3" s="1"/>
  <c r="H37" i="2"/>
  <c r="B4" i="2"/>
  <c r="C44" i="2"/>
  <c r="C43" i="2"/>
  <c r="S36" i="7"/>
  <c r="R36" i="7"/>
  <c r="Q36" i="7"/>
  <c r="P36" i="7"/>
  <c r="O36" i="7"/>
  <c r="N36" i="7"/>
  <c r="M36" i="7"/>
  <c r="K36" i="7"/>
  <c r="T31" i="7"/>
  <c r="S31" i="7"/>
  <c r="R31" i="7"/>
  <c r="Q31" i="7"/>
  <c r="P31" i="7"/>
  <c r="O31" i="7"/>
  <c r="N31" i="7"/>
  <c r="M31" i="7"/>
  <c r="L31" i="7"/>
  <c r="K31" i="7"/>
  <c r="J31" i="7"/>
  <c r="I31" i="7"/>
  <c r="I33" i="7"/>
  <c r="T30" i="7"/>
  <c r="T37" i="7" s="1"/>
  <c r="S30" i="7"/>
  <c r="R30" i="7"/>
  <c r="Q30" i="7"/>
  <c r="P30" i="7"/>
  <c r="P37" i="7" s="1"/>
  <c r="O30" i="7"/>
  <c r="O37" i="7" s="1"/>
  <c r="N30" i="7"/>
  <c r="M30" i="7"/>
  <c r="L30" i="7"/>
  <c r="L37" i="7"/>
  <c r="K30" i="7"/>
  <c r="J30" i="7"/>
  <c r="I37" i="7"/>
  <c r="U25" i="7"/>
  <c r="U34" i="7"/>
  <c r="U32" i="7"/>
  <c r="U35" i="7"/>
  <c r="I5" i="2"/>
  <c r="J5" i="2" s="1"/>
  <c r="K5" i="2" s="1"/>
  <c r="L5" i="2" s="1"/>
  <c r="M5" i="2" s="1"/>
  <c r="N5" i="2" s="1"/>
  <c r="O5" i="2" s="1"/>
  <c r="P5" i="2" s="1"/>
  <c r="Q5" i="2" s="1"/>
  <c r="R5" i="2" s="1"/>
  <c r="S5" i="2" s="1"/>
  <c r="T5" i="2" s="1"/>
  <c r="U5" i="2" s="1"/>
  <c r="V5" i="2" s="1"/>
  <c r="W5" i="2" s="1"/>
  <c r="X5" i="2" s="1"/>
  <c r="Y5" i="2" s="1"/>
  <c r="Z5" i="2" s="1"/>
  <c r="AA5" i="2" s="1"/>
  <c r="AB5" i="2" s="1"/>
  <c r="AC5" i="2" s="1"/>
  <c r="AD5" i="2" s="1"/>
  <c r="AE5" i="2" s="1"/>
  <c r="AF5" i="2" s="1"/>
  <c r="AG5" i="2" s="1"/>
  <c r="AH5" i="2" s="1"/>
  <c r="AI5" i="2" s="1"/>
  <c r="AJ5" i="2" s="1"/>
  <c r="AK5" i="2" s="1"/>
  <c r="AL5" i="2" s="1"/>
  <c r="AM5" i="2" s="1"/>
  <c r="AN5" i="2" s="1"/>
  <c r="AO5" i="2" s="1"/>
  <c r="AP5" i="2" s="1"/>
  <c r="AQ5" i="2" s="1"/>
  <c r="AR5" i="2" s="1"/>
  <c r="AS5" i="2" s="1"/>
  <c r="AT5" i="2" s="1"/>
  <c r="AU5" i="2" s="1"/>
  <c r="AV5" i="2" s="1"/>
  <c r="AW5" i="2" s="1"/>
  <c r="AX5" i="2" s="1"/>
  <c r="AY5" i="2" s="1"/>
  <c r="AZ5" i="2" s="1"/>
  <c r="BA5" i="2" s="1"/>
  <c r="BB5" i="2" s="1"/>
  <c r="BC5" i="2" s="1"/>
  <c r="BD5" i="2" s="1"/>
  <c r="BE5" i="2" s="1"/>
  <c r="BF5" i="2" s="1"/>
  <c r="BG5" i="2" s="1"/>
  <c r="BH5" i="2" s="1"/>
  <c r="BI5" i="2" s="1"/>
  <c r="BJ5" i="2" s="1"/>
  <c r="BK5" i="2" s="1"/>
  <c r="BL5" i="2" s="1"/>
  <c r="BM5" i="2" s="1"/>
  <c r="BN5" i="2" s="1"/>
  <c r="BO5" i="2" s="1"/>
  <c r="BP5" i="2" s="1"/>
  <c r="BQ5" i="2" s="1"/>
  <c r="BR5" i="2" s="1"/>
  <c r="BS5" i="2" s="1"/>
  <c r="BT5" i="2" s="1"/>
  <c r="BU5" i="2" s="1"/>
  <c r="BV5" i="2" s="1"/>
  <c r="BW5" i="2" s="1"/>
  <c r="BX5" i="2" s="1"/>
  <c r="BY5" i="2" s="1"/>
  <c r="BZ5" i="2" s="1"/>
  <c r="CA5" i="2" s="1"/>
  <c r="CB5" i="2" s="1"/>
  <c r="CC5" i="2" s="1"/>
  <c r="CD5" i="2" s="1"/>
  <c r="CE5" i="2" s="1"/>
  <c r="CF5" i="2" s="1"/>
  <c r="CG5" i="2" s="1"/>
  <c r="CH5" i="2" s="1"/>
  <c r="CI5" i="2" s="1"/>
  <c r="CJ5" i="2" s="1"/>
  <c r="CK5" i="2" s="1"/>
  <c r="CL5" i="2" s="1"/>
  <c r="CM5" i="2" s="1"/>
  <c r="CN5" i="2" s="1"/>
  <c r="CO5" i="2" s="1"/>
  <c r="CP5" i="2" s="1"/>
  <c r="CQ5" i="2" s="1"/>
  <c r="CR5" i="2" s="1"/>
  <c r="CS5" i="2" s="1"/>
  <c r="CT5" i="2" s="1"/>
  <c r="CU5" i="2" s="1"/>
  <c r="CV5" i="2" s="1"/>
  <c r="CW5" i="2" s="1"/>
  <c r="CX5" i="2" s="1"/>
  <c r="CY5" i="2" s="1"/>
  <c r="CZ5" i="2" s="1"/>
  <c r="U24" i="7"/>
  <c r="U23" i="7"/>
  <c r="U22" i="7"/>
  <c r="U20" i="7"/>
  <c r="U19" i="7"/>
  <c r="U18" i="7"/>
  <c r="U16" i="7"/>
  <c r="U15" i="7"/>
  <c r="U11" i="7"/>
  <c r="U5" i="7"/>
  <c r="U6" i="7"/>
  <c r="U7" i="7"/>
  <c r="U8" i="7"/>
  <c r="U9" i="7"/>
  <c r="U10" i="7"/>
  <c r="U12" i="7"/>
  <c r="U13" i="7"/>
  <c r="U27" i="7"/>
  <c r="U4" i="7"/>
  <c r="H38" i="4"/>
  <c r="Q11" i="6"/>
  <c r="F23" i="6" s="1"/>
  <c r="Q10" i="6"/>
  <c r="E23" i="6"/>
  <c r="Q9" i="6"/>
  <c r="D23" i="6" s="1"/>
  <c r="Q8" i="6"/>
  <c r="C23" i="6"/>
  <c r="M11" i="6"/>
  <c r="F22" i="6" s="1"/>
  <c r="D22" i="6"/>
  <c r="M8" i="6"/>
  <c r="C22" i="6" s="1"/>
  <c r="I11" i="6"/>
  <c r="F21" i="6"/>
  <c r="I10" i="6"/>
  <c r="E21" i="6" s="1"/>
  <c r="D21" i="6"/>
  <c r="I8" i="6"/>
  <c r="C21" i="6" s="1"/>
  <c r="E10" i="6"/>
  <c r="E20" i="6" s="1"/>
  <c r="A1" i="4"/>
  <c r="C42" i="4"/>
  <c r="D42" i="4"/>
  <c r="E42" i="4"/>
  <c r="F42" i="4"/>
  <c r="G42" i="4"/>
  <c r="H42" i="4"/>
  <c r="I42" i="4"/>
  <c r="J42" i="4"/>
  <c r="K42" i="4"/>
  <c r="L42" i="4"/>
  <c r="M42" i="4"/>
  <c r="N42" i="4"/>
  <c r="C43" i="4"/>
  <c r="D43" i="4"/>
  <c r="E43" i="4"/>
  <c r="F43" i="4"/>
  <c r="G43" i="4"/>
  <c r="H43" i="4"/>
  <c r="I43" i="4"/>
  <c r="J43" i="4"/>
  <c r="K43" i="4"/>
  <c r="L43" i="4"/>
  <c r="M43" i="4"/>
  <c r="N43" i="4"/>
  <c r="C44" i="4"/>
  <c r="D44" i="4"/>
  <c r="E44" i="4"/>
  <c r="F44" i="4"/>
  <c r="G44" i="4"/>
  <c r="H44" i="4"/>
  <c r="I44" i="4"/>
  <c r="J44" i="4"/>
  <c r="K44" i="4"/>
  <c r="L44" i="4"/>
  <c r="M44" i="4"/>
  <c r="N44" i="4"/>
  <c r="C45" i="4"/>
  <c r="D45" i="4"/>
  <c r="E45" i="4"/>
  <c r="F45" i="4"/>
  <c r="G45" i="4"/>
  <c r="H45" i="4"/>
  <c r="I45" i="4"/>
  <c r="J45" i="4"/>
  <c r="K45" i="4"/>
  <c r="L45" i="4"/>
  <c r="M45" i="4"/>
  <c r="N45" i="4"/>
  <c r="C46" i="4"/>
  <c r="D46" i="4"/>
  <c r="E46" i="4"/>
  <c r="F46" i="4"/>
  <c r="G46" i="4"/>
  <c r="H46" i="4"/>
  <c r="I46" i="4"/>
  <c r="J46" i="4"/>
  <c r="K46" i="4"/>
  <c r="L46" i="4"/>
  <c r="M46" i="4"/>
  <c r="N46" i="4"/>
  <c r="C47" i="4"/>
  <c r="D47" i="4"/>
  <c r="E47" i="4"/>
  <c r="F47" i="4"/>
  <c r="G47" i="4"/>
  <c r="H47" i="4"/>
  <c r="I47" i="4"/>
  <c r="J47" i="4"/>
  <c r="K47" i="4"/>
  <c r="L47" i="4"/>
  <c r="M47" i="4"/>
  <c r="N47" i="4"/>
  <c r="C48" i="4"/>
  <c r="D48" i="4"/>
  <c r="E48" i="4"/>
  <c r="F48" i="4"/>
  <c r="G48" i="4"/>
  <c r="H48" i="4"/>
  <c r="I48" i="4"/>
  <c r="J48" i="4"/>
  <c r="K48" i="4"/>
  <c r="L48" i="4"/>
  <c r="M48" i="4"/>
  <c r="N48" i="4"/>
  <c r="C50" i="4"/>
  <c r="D50" i="4"/>
  <c r="E50" i="4"/>
  <c r="F50" i="4"/>
  <c r="G50" i="4"/>
  <c r="H50" i="4"/>
  <c r="I50" i="4"/>
  <c r="J50" i="4"/>
  <c r="K50" i="4"/>
  <c r="L50" i="4"/>
  <c r="M50" i="4"/>
  <c r="N50" i="4"/>
  <c r="C51" i="4"/>
  <c r="D51" i="4"/>
  <c r="E51" i="4"/>
  <c r="F51" i="4"/>
  <c r="G51" i="4"/>
  <c r="H51" i="4"/>
  <c r="I51" i="4"/>
  <c r="J51" i="4"/>
  <c r="K51" i="4"/>
  <c r="L51" i="4"/>
  <c r="M51" i="4"/>
  <c r="N51" i="4"/>
  <c r="C52" i="4"/>
  <c r="D52" i="4"/>
  <c r="E52" i="4"/>
  <c r="F52" i="4"/>
  <c r="G52" i="4"/>
  <c r="H52" i="4"/>
  <c r="I52" i="4"/>
  <c r="J52" i="4"/>
  <c r="K52" i="4"/>
  <c r="L52" i="4"/>
  <c r="M52" i="4"/>
  <c r="N52" i="4"/>
  <c r="C53" i="4"/>
  <c r="D53" i="4"/>
  <c r="E53" i="4"/>
  <c r="F53" i="4"/>
  <c r="G53" i="4"/>
  <c r="H53" i="4"/>
  <c r="I53" i="4"/>
  <c r="J53" i="4"/>
  <c r="K53" i="4"/>
  <c r="L53" i="4"/>
  <c r="M53" i="4"/>
  <c r="N53" i="4"/>
  <c r="C54" i="4"/>
  <c r="D54" i="4"/>
  <c r="E54" i="4"/>
  <c r="F54" i="4"/>
  <c r="G54" i="4"/>
  <c r="H54" i="4"/>
  <c r="I54" i="4"/>
  <c r="J54" i="4"/>
  <c r="K54" i="4"/>
  <c r="L54" i="4"/>
  <c r="M54" i="4"/>
  <c r="N54" i="4"/>
  <c r="C55" i="4"/>
  <c r="D55" i="4"/>
  <c r="E55" i="4"/>
  <c r="F55" i="4"/>
  <c r="G55" i="4"/>
  <c r="H55" i="4"/>
  <c r="I55" i="4"/>
  <c r="J55" i="4"/>
  <c r="K55" i="4"/>
  <c r="L55" i="4"/>
  <c r="M55" i="4"/>
  <c r="N55" i="4"/>
  <c r="C57" i="4"/>
  <c r="D57" i="4"/>
  <c r="E57" i="4"/>
  <c r="F57" i="4"/>
  <c r="G57" i="4"/>
  <c r="H57" i="4"/>
  <c r="I57" i="4"/>
  <c r="J57" i="4"/>
  <c r="K57" i="4"/>
  <c r="L57" i="4"/>
  <c r="M57" i="4"/>
  <c r="N57" i="4"/>
  <c r="C58" i="4"/>
  <c r="D58" i="4"/>
  <c r="E58" i="4"/>
  <c r="F58" i="4"/>
  <c r="G58" i="4"/>
  <c r="H58" i="4"/>
  <c r="I58" i="4"/>
  <c r="J58" i="4"/>
  <c r="K58" i="4"/>
  <c r="L58" i="4"/>
  <c r="M58" i="4"/>
  <c r="N58" i="4"/>
  <c r="C59" i="4"/>
  <c r="D59" i="4"/>
  <c r="E59" i="4"/>
  <c r="F59" i="4"/>
  <c r="G59" i="4"/>
  <c r="H59" i="4"/>
  <c r="I59" i="4"/>
  <c r="J59" i="4"/>
  <c r="K59" i="4"/>
  <c r="L59" i="4"/>
  <c r="M59" i="4"/>
  <c r="N59" i="4"/>
  <c r="C60" i="4"/>
  <c r="D60" i="4"/>
  <c r="E60" i="4"/>
  <c r="F60" i="4"/>
  <c r="G60" i="4"/>
  <c r="H60" i="4"/>
  <c r="I60" i="4"/>
  <c r="J60" i="4"/>
  <c r="K60" i="4"/>
  <c r="L60" i="4"/>
  <c r="M60" i="4"/>
  <c r="N60" i="4"/>
  <c r="C61" i="4"/>
  <c r="D61" i="4"/>
  <c r="E61" i="4"/>
  <c r="F61" i="4"/>
  <c r="G61" i="4"/>
  <c r="H61" i="4"/>
  <c r="I61" i="4"/>
  <c r="J61" i="4"/>
  <c r="K61" i="4"/>
  <c r="L61" i="4"/>
  <c r="M61" i="4"/>
  <c r="N61" i="4"/>
  <c r="C62" i="4"/>
  <c r="C209" i="4" s="1"/>
  <c r="C210" i="4" s="1"/>
  <c r="I23" i="3" s="1"/>
  <c r="D62" i="4"/>
  <c r="D209" i="4" s="1"/>
  <c r="D210" i="4" s="1"/>
  <c r="J23" i="3" s="1"/>
  <c r="E62" i="4"/>
  <c r="E209" i="4" s="1"/>
  <c r="E210" i="4" s="1"/>
  <c r="K23" i="3" s="1"/>
  <c r="F62" i="4"/>
  <c r="F209" i="4"/>
  <c r="F210" i="4" s="1"/>
  <c r="L23" i="3" s="1"/>
  <c r="G62" i="4"/>
  <c r="G209" i="4" s="1"/>
  <c r="G210" i="4" s="1"/>
  <c r="M23" i="3" s="1"/>
  <c r="H62" i="4"/>
  <c r="H209" i="4" s="1"/>
  <c r="H210" i="4" s="1"/>
  <c r="N23" i="3" s="1"/>
  <c r="I62" i="4"/>
  <c r="I209" i="4" s="1"/>
  <c r="I210" i="4" s="1"/>
  <c r="O23" i="3" s="1"/>
  <c r="J62" i="4"/>
  <c r="J209" i="4" s="1"/>
  <c r="J210" i="4" s="1"/>
  <c r="P23" i="3" s="1"/>
  <c r="K62" i="4"/>
  <c r="K209" i="4" s="1"/>
  <c r="K210" i="4" s="1"/>
  <c r="Q23" i="3" s="1"/>
  <c r="L62" i="4"/>
  <c r="L209" i="4" s="1"/>
  <c r="L210" i="4" s="1"/>
  <c r="R23" i="3" s="1"/>
  <c r="M62" i="4"/>
  <c r="M209" i="4" s="1"/>
  <c r="M210" i="4" s="1"/>
  <c r="S23" i="3" s="1"/>
  <c r="N62" i="4"/>
  <c r="B58" i="4"/>
  <c r="B59" i="4"/>
  <c r="B60" i="4"/>
  <c r="B61" i="4"/>
  <c r="B62" i="4"/>
  <c r="B209" i="4" s="1"/>
  <c r="B210" i="4" s="1"/>
  <c r="H23" i="3" s="1"/>
  <c r="B57" i="4"/>
  <c r="B55" i="4"/>
  <c r="B54" i="4"/>
  <c r="B51" i="4"/>
  <c r="B52" i="4"/>
  <c r="B53" i="4"/>
  <c r="B50" i="4"/>
  <c r="B48" i="4"/>
  <c r="B47" i="4"/>
  <c r="B46" i="4"/>
  <c r="B45" i="4"/>
  <c r="B44" i="4"/>
  <c r="B43" i="4"/>
  <c r="B42" i="4"/>
  <c r="N29" i="4"/>
  <c r="N27" i="4"/>
  <c r="N32" i="4"/>
  <c r="N31" i="4"/>
  <c r="N30" i="4"/>
  <c r="N28" i="4"/>
  <c r="N33" i="4"/>
  <c r="N34" i="4"/>
  <c r="N36" i="4"/>
  <c r="N37" i="4" s="1"/>
  <c r="N38" i="4"/>
  <c r="N39" i="4" s="1"/>
  <c r="N40" i="4"/>
  <c r="C29" i="4"/>
  <c r="D29" i="4"/>
  <c r="E29" i="4"/>
  <c r="F29" i="4"/>
  <c r="F193" i="4" s="1"/>
  <c r="L20" i="3" s="1"/>
  <c r="G29" i="4"/>
  <c r="G193" i="4" s="1"/>
  <c r="M20" i="3" s="1"/>
  <c r="H29" i="4"/>
  <c r="H193" i="4" s="1"/>
  <c r="N20" i="3" s="1"/>
  <c r="I29" i="4"/>
  <c r="J29" i="4"/>
  <c r="K29" i="4"/>
  <c r="K193" i="4" s="1"/>
  <c r="Q20" i="3" s="1"/>
  <c r="L29" i="4"/>
  <c r="M29" i="4"/>
  <c r="M193" i="4" s="1"/>
  <c r="S20" i="3" s="1"/>
  <c r="C27" i="4"/>
  <c r="D27" i="4"/>
  <c r="E27" i="4"/>
  <c r="F27" i="4"/>
  <c r="G27" i="4"/>
  <c r="H27" i="4"/>
  <c r="I27" i="4"/>
  <c r="J27" i="4"/>
  <c r="K27" i="4"/>
  <c r="L27" i="4"/>
  <c r="M27" i="4"/>
  <c r="C32" i="4"/>
  <c r="D32" i="4"/>
  <c r="E32" i="4"/>
  <c r="F32" i="4"/>
  <c r="G32" i="4"/>
  <c r="H32" i="4"/>
  <c r="I32" i="4"/>
  <c r="J32" i="4"/>
  <c r="K32" i="4"/>
  <c r="L32" i="4"/>
  <c r="M32" i="4"/>
  <c r="C31" i="4"/>
  <c r="D31" i="4"/>
  <c r="E31" i="4"/>
  <c r="F31" i="4"/>
  <c r="G31" i="4"/>
  <c r="H31" i="4"/>
  <c r="I31" i="4"/>
  <c r="J31" i="4"/>
  <c r="K31" i="4"/>
  <c r="L31" i="4"/>
  <c r="M31" i="4"/>
  <c r="C30" i="4"/>
  <c r="D30" i="4"/>
  <c r="E30" i="4"/>
  <c r="F30" i="4"/>
  <c r="G30" i="4"/>
  <c r="H30" i="4"/>
  <c r="I30" i="4"/>
  <c r="J30" i="4"/>
  <c r="K30" i="4"/>
  <c r="L30" i="4"/>
  <c r="M30" i="4"/>
  <c r="C28" i="4"/>
  <c r="D28" i="4"/>
  <c r="E28" i="4"/>
  <c r="F28" i="4"/>
  <c r="G28" i="4"/>
  <c r="H28" i="4"/>
  <c r="I28" i="4"/>
  <c r="J28" i="4"/>
  <c r="K28" i="4"/>
  <c r="L28" i="4"/>
  <c r="M28" i="4"/>
  <c r="C33" i="4"/>
  <c r="D33" i="4"/>
  <c r="E33" i="4"/>
  <c r="F33" i="4"/>
  <c r="G33" i="4"/>
  <c r="H33" i="4"/>
  <c r="I33" i="4"/>
  <c r="J33" i="4"/>
  <c r="K33" i="4"/>
  <c r="L33" i="4"/>
  <c r="M33" i="4"/>
  <c r="C34" i="4"/>
  <c r="D34" i="4"/>
  <c r="E34" i="4"/>
  <c r="F34" i="4"/>
  <c r="G34" i="4"/>
  <c r="H34" i="4"/>
  <c r="I34" i="4"/>
  <c r="J34" i="4"/>
  <c r="K34" i="4"/>
  <c r="L34" i="4"/>
  <c r="M34" i="4"/>
  <c r="C36" i="4"/>
  <c r="D36" i="4"/>
  <c r="E36" i="4"/>
  <c r="F36" i="4"/>
  <c r="F37" i="4" s="1"/>
  <c r="G36" i="4"/>
  <c r="H36" i="4"/>
  <c r="H37" i="4" s="1"/>
  <c r="I36" i="4"/>
  <c r="J36" i="4"/>
  <c r="K36" i="4"/>
  <c r="L36" i="4"/>
  <c r="M36" i="4"/>
  <c r="C38" i="4"/>
  <c r="D38" i="4"/>
  <c r="E38" i="4"/>
  <c r="E39" i="4" s="1"/>
  <c r="F38" i="4"/>
  <c r="G38" i="4"/>
  <c r="I38" i="4"/>
  <c r="J38" i="4"/>
  <c r="K38" i="4"/>
  <c r="L38" i="4"/>
  <c r="M38" i="4"/>
  <c r="C40" i="4"/>
  <c r="D40" i="4"/>
  <c r="E40" i="4"/>
  <c r="F40" i="4"/>
  <c r="G40" i="4"/>
  <c r="H40" i="4"/>
  <c r="I40" i="4"/>
  <c r="J40" i="4"/>
  <c r="K40" i="4"/>
  <c r="L40" i="4"/>
  <c r="M40" i="4"/>
  <c r="B36" i="4"/>
  <c r="B38" i="4"/>
  <c r="B40" i="4"/>
  <c r="B34" i="4"/>
  <c r="B33" i="4"/>
  <c r="B30" i="4"/>
  <c r="B28" i="4"/>
  <c r="B31" i="4"/>
  <c r="B32" i="4"/>
  <c r="B27" i="4"/>
  <c r="B29" i="4"/>
  <c r="C23" i="4"/>
  <c r="D23" i="4"/>
  <c r="E23" i="4"/>
  <c r="F23" i="4"/>
  <c r="G23" i="4"/>
  <c r="H23" i="4"/>
  <c r="I23" i="4"/>
  <c r="J23" i="4"/>
  <c r="K23" i="4"/>
  <c r="L23" i="4"/>
  <c r="M23" i="4"/>
  <c r="N23" i="4"/>
  <c r="C24" i="4"/>
  <c r="D24" i="4"/>
  <c r="E24" i="4"/>
  <c r="F24" i="4"/>
  <c r="G24" i="4"/>
  <c r="H24" i="4"/>
  <c r="I24" i="4"/>
  <c r="J24" i="4"/>
  <c r="K24" i="4"/>
  <c r="L24" i="4"/>
  <c r="M24" i="4"/>
  <c r="N24" i="4"/>
  <c r="C25" i="4"/>
  <c r="D25" i="4"/>
  <c r="E25" i="4"/>
  <c r="F25" i="4"/>
  <c r="G25" i="4"/>
  <c r="H25" i="4"/>
  <c r="I25" i="4"/>
  <c r="J25" i="4"/>
  <c r="K25" i="4"/>
  <c r="L25" i="4"/>
  <c r="M25" i="4"/>
  <c r="N25" i="4"/>
  <c r="C15" i="4"/>
  <c r="D15" i="4"/>
  <c r="E15" i="4"/>
  <c r="F15" i="4"/>
  <c r="G15" i="4"/>
  <c r="H15" i="4"/>
  <c r="I15" i="4"/>
  <c r="J15" i="4"/>
  <c r="K15" i="4"/>
  <c r="L15" i="4"/>
  <c r="M15" i="4"/>
  <c r="N15" i="4"/>
  <c r="C16" i="4"/>
  <c r="C174" i="4" s="1"/>
  <c r="I22" i="3" s="1"/>
  <c r="D16" i="4"/>
  <c r="D174" i="4" s="1"/>
  <c r="J22" i="3" s="1"/>
  <c r="E16" i="4"/>
  <c r="E174" i="4" s="1"/>
  <c r="K22" i="3" s="1"/>
  <c r="F16" i="4"/>
  <c r="F174" i="4" s="1"/>
  <c r="L22" i="3" s="1"/>
  <c r="G16" i="4"/>
  <c r="G174" i="4" s="1"/>
  <c r="M22" i="3" s="1"/>
  <c r="H16" i="4"/>
  <c r="H174" i="4" s="1"/>
  <c r="N22" i="3" s="1"/>
  <c r="I16" i="4"/>
  <c r="I174" i="4" s="1"/>
  <c r="O22" i="3" s="1"/>
  <c r="J16" i="4"/>
  <c r="J174" i="4" s="1"/>
  <c r="P22" i="3" s="1"/>
  <c r="K16" i="4"/>
  <c r="K174" i="4" s="1"/>
  <c r="Q22" i="3" s="1"/>
  <c r="L16" i="4"/>
  <c r="L174" i="4" s="1"/>
  <c r="R22" i="3" s="1"/>
  <c r="M16" i="4"/>
  <c r="M174" i="4" s="1"/>
  <c r="S22" i="3" s="1"/>
  <c r="N16" i="4"/>
  <c r="C17" i="4"/>
  <c r="D17" i="4"/>
  <c r="E17" i="4"/>
  <c r="F17" i="4"/>
  <c r="G17" i="4"/>
  <c r="H17" i="4"/>
  <c r="I17" i="4"/>
  <c r="J17" i="4"/>
  <c r="K17" i="4"/>
  <c r="L17" i="4"/>
  <c r="M17" i="4"/>
  <c r="N17" i="4"/>
  <c r="C18" i="4"/>
  <c r="D18" i="4"/>
  <c r="E18" i="4"/>
  <c r="F18" i="4"/>
  <c r="G18" i="4"/>
  <c r="H18" i="4"/>
  <c r="I18" i="4"/>
  <c r="J18" i="4"/>
  <c r="K18" i="4"/>
  <c r="L18" i="4"/>
  <c r="M18" i="4"/>
  <c r="N18" i="4"/>
  <c r="C19" i="4"/>
  <c r="D19" i="4"/>
  <c r="E19" i="4"/>
  <c r="F19" i="4"/>
  <c r="G19" i="4"/>
  <c r="H19" i="4"/>
  <c r="I19" i="4"/>
  <c r="J19" i="4"/>
  <c r="K19" i="4"/>
  <c r="L19" i="4"/>
  <c r="M19" i="4"/>
  <c r="N19" i="4"/>
  <c r="C20" i="4"/>
  <c r="D20" i="4"/>
  <c r="E20" i="4"/>
  <c r="F20" i="4"/>
  <c r="G20" i="4"/>
  <c r="H20" i="4"/>
  <c r="I20" i="4"/>
  <c r="J20" i="4"/>
  <c r="K20" i="4"/>
  <c r="L20" i="4"/>
  <c r="M20" i="4"/>
  <c r="N20" i="4"/>
  <c r="C21" i="4"/>
  <c r="D21" i="4"/>
  <c r="E21" i="4"/>
  <c r="F21" i="4"/>
  <c r="G21" i="4"/>
  <c r="H21" i="4"/>
  <c r="I21" i="4"/>
  <c r="J21" i="4"/>
  <c r="K21" i="4"/>
  <c r="L21" i="4"/>
  <c r="M21" i="4"/>
  <c r="N21" i="4"/>
  <c r="C5" i="4"/>
  <c r="D5" i="4"/>
  <c r="E5" i="4"/>
  <c r="F5" i="4"/>
  <c r="G5" i="4"/>
  <c r="H5" i="4"/>
  <c r="I5" i="4"/>
  <c r="J5" i="4"/>
  <c r="K5" i="4"/>
  <c r="L5" i="4"/>
  <c r="M5" i="4"/>
  <c r="N5" i="4"/>
  <c r="C6" i="4"/>
  <c r="D6" i="4"/>
  <c r="E6" i="4"/>
  <c r="F6" i="4"/>
  <c r="G6" i="4"/>
  <c r="H6" i="4"/>
  <c r="I6" i="4"/>
  <c r="J6" i="4"/>
  <c r="K6" i="4"/>
  <c r="L6" i="4"/>
  <c r="M6" i="4"/>
  <c r="N6" i="4"/>
  <c r="C7" i="4"/>
  <c r="D7" i="4"/>
  <c r="E7" i="4"/>
  <c r="F7" i="4"/>
  <c r="G7" i="4"/>
  <c r="H7" i="4"/>
  <c r="I7" i="4"/>
  <c r="J7" i="4"/>
  <c r="K7" i="4"/>
  <c r="L7" i="4"/>
  <c r="M7" i="4"/>
  <c r="N7" i="4"/>
  <c r="C8" i="4"/>
  <c r="D8" i="4"/>
  <c r="E8" i="4"/>
  <c r="F8" i="4"/>
  <c r="G8" i="4"/>
  <c r="H8" i="4"/>
  <c r="I8" i="4"/>
  <c r="J8" i="4"/>
  <c r="K8" i="4"/>
  <c r="L8" i="4"/>
  <c r="M8" i="4"/>
  <c r="N8" i="4"/>
  <c r="N9" i="4"/>
  <c r="N11" i="4"/>
  <c r="C13" i="4"/>
  <c r="C12" i="4" s="1"/>
  <c r="D13" i="4"/>
  <c r="D12" i="4" s="1"/>
  <c r="E13" i="4"/>
  <c r="E12" i="4" s="1"/>
  <c r="F13" i="4"/>
  <c r="F12" i="4" s="1"/>
  <c r="G13" i="4"/>
  <c r="G12" i="4" s="1"/>
  <c r="H13" i="4"/>
  <c r="H12" i="4" s="1"/>
  <c r="I13" i="4"/>
  <c r="I12" i="4" s="1"/>
  <c r="J13" i="4"/>
  <c r="J12" i="4" s="1"/>
  <c r="K13" i="4"/>
  <c r="L13" i="4"/>
  <c r="L12" i="4" s="1"/>
  <c r="M13" i="4"/>
  <c r="M12" i="4" s="1"/>
  <c r="N13" i="4"/>
  <c r="B25" i="4"/>
  <c r="B24" i="4"/>
  <c r="B23" i="4"/>
  <c r="B21" i="4"/>
  <c r="B20" i="4"/>
  <c r="B19" i="4"/>
  <c r="B18" i="4"/>
  <c r="B17" i="4"/>
  <c r="B16" i="4"/>
  <c r="B174" i="4" s="1"/>
  <c r="H22" i="3" s="1"/>
  <c r="B15" i="4"/>
  <c r="B8" i="4"/>
  <c r="B7" i="4"/>
  <c r="B6" i="4"/>
  <c r="B5" i="4"/>
  <c r="N4" i="4"/>
  <c r="M4" i="4"/>
  <c r="M154" i="4" s="1"/>
  <c r="S21" i="3" s="1"/>
  <c r="L4" i="4"/>
  <c r="L154" i="4" s="1"/>
  <c r="R21" i="3" s="1"/>
  <c r="K4" i="4"/>
  <c r="K154" i="4" s="1"/>
  <c r="Q21" i="3" s="1"/>
  <c r="J4" i="4"/>
  <c r="J154" i="4" s="1"/>
  <c r="P21" i="3" s="1"/>
  <c r="I4" i="4"/>
  <c r="I154" i="4" s="1"/>
  <c r="O21" i="3" s="1"/>
  <c r="H4" i="4"/>
  <c r="H154" i="4" s="1"/>
  <c r="N21" i="3" s="1"/>
  <c r="G4" i="4"/>
  <c r="F4" i="4"/>
  <c r="F154" i="4" s="1"/>
  <c r="L21" i="3" s="1"/>
  <c r="E4" i="4"/>
  <c r="E154" i="4" s="1"/>
  <c r="K21" i="3" s="1"/>
  <c r="D4" i="4"/>
  <c r="D154" i="4" s="1"/>
  <c r="J21" i="3" s="1"/>
  <c r="C4" i="4"/>
  <c r="C154" i="4" s="1"/>
  <c r="I21" i="3" s="1"/>
  <c r="B4" i="4"/>
  <c r="B154" i="4" s="1"/>
  <c r="H21" i="3" s="1"/>
  <c r="G154" i="4"/>
  <c r="M21" i="3" s="1"/>
  <c r="J14" i="2" l="1"/>
  <c r="I24" i="2"/>
  <c r="I41" i="2"/>
  <c r="J24" i="2"/>
  <c r="I26" i="2"/>
  <c r="I31" i="2"/>
  <c r="J26" i="2"/>
  <c r="K9" i="2"/>
  <c r="K12" i="2" s="1"/>
  <c r="I58" i="2"/>
  <c r="I28" i="2"/>
  <c r="I14" i="2"/>
  <c r="H9" i="2"/>
  <c r="J41" i="2"/>
  <c r="K37" i="4"/>
  <c r="L39" i="4"/>
  <c r="B10" i="4"/>
  <c r="Q37" i="7"/>
  <c r="R37" i="7"/>
  <c r="U36" i="7"/>
  <c r="S37" i="7"/>
  <c r="I33" i="2"/>
  <c r="U33" i="2" s="1"/>
  <c r="AG33" i="2" s="1"/>
  <c r="AS33" i="2" s="1"/>
  <c r="BE33" i="2" s="1"/>
  <c r="BQ33" i="2" s="1"/>
  <c r="CC33" i="2" s="1"/>
  <c r="CO33" i="2" s="1"/>
  <c r="D48" i="3"/>
  <c r="H48" i="3" s="1"/>
  <c r="D35" i="3"/>
  <c r="K35" i="3" s="1"/>
  <c r="D36" i="3"/>
  <c r="D40" i="3"/>
  <c r="D43" i="3"/>
  <c r="D54" i="3"/>
  <c r="D57" i="3"/>
  <c r="K37" i="7"/>
  <c r="C37" i="4"/>
  <c r="G37" i="4"/>
  <c r="J37" i="4"/>
  <c r="P34" i="3" s="1"/>
  <c r="C193" i="4"/>
  <c r="I20" i="3" s="1"/>
  <c r="C192" i="4"/>
  <c r="D193" i="4"/>
  <c r="J20" i="3" s="1"/>
  <c r="D192" i="4"/>
  <c r="E193" i="4"/>
  <c r="K20" i="3" s="1"/>
  <c r="E192" i="4"/>
  <c r="I193" i="4"/>
  <c r="O20" i="3" s="1"/>
  <c r="I192" i="4"/>
  <c r="L193" i="4"/>
  <c r="R20" i="3" s="1"/>
  <c r="L192" i="4"/>
  <c r="B193" i="4"/>
  <c r="H20" i="3" s="1"/>
  <c r="B192" i="4"/>
  <c r="F39" i="4"/>
  <c r="J193" i="4"/>
  <c r="P20" i="3" s="1"/>
  <c r="I32" i="2" s="1"/>
  <c r="U32" i="2" s="1"/>
  <c r="AG32" i="2" s="1"/>
  <c r="AS32" i="2" s="1"/>
  <c r="BE32" i="2" s="1"/>
  <c r="BQ32" i="2" s="1"/>
  <c r="CC32" i="2" s="1"/>
  <c r="CO32" i="2" s="1"/>
  <c r="J192" i="4"/>
  <c r="F192" i="4"/>
  <c r="L38" i="7"/>
  <c r="K3" i="3" s="1"/>
  <c r="K27" i="3"/>
  <c r="O38" i="7"/>
  <c r="N3" i="3" s="1"/>
  <c r="N27" i="3"/>
  <c r="Q38" i="7"/>
  <c r="P3" i="3" s="1"/>
  <c r="P64" i="3" s="1"/>
  <c r="P27" i="3"/>
  <c r="I59" i="2" s="1"/>
  <c r="M37" i="7"/>
  <c r="U33" i="7"/>
  <c r="K5" i="3"/>
  <c r="K74" i="3" s="1"/>
  <c r="L9" i="2"/>
  <c r="K31" i="2"/>
  <c r="K32" i="2" s="1"/>
  <c r="W32" i="2" s="1"/>
  <c r="AI32" i="2" s="1"/>
  <c r="AU32" i="2" s="1"/>
  <c r="BG32" i="2" s="1"/>
  <c r="BS32" i="2" s="1"/>
  <c r="CE32" i="2" s="1"/>
  <c r="CQ32" i="2" s="1"/>
  <c r="K58" i="2"/>
  <c r="K24" i="2"/>
  <c r="K41" i="2"/>
  <c r="K28" i="2"/>
  <c r="K26" i="2"/>
  <c r="P6" i="3"/>
  <c r="P75" i="3" s="1"/>
  <c r="I34" i="2"/>
  <c r="U34" i="2" s="1"/>
  <c r="AG34" i="2" s="1"/>
  <c r="AS34" i="2" s="1"/>
  <c r="BE34" i="2" s="1"/>
  <c r="BQ34" i="2" s="1"/>
  <c r="CC34" i="2" s="1"/>
  <c r="CO34" i="2" s="1"/>
  <c r="I35" i="2"/>
  <c r="U35" i="2" s="1"/>
  <c r="AG35" i="2" s="1"/>
  <c r="AS35" i="2" s="1"/>
  <c r="BE35" i="2" s="1"/>
  <c r="BQ35" i="2" s="1"/>
  <c r="CC35" i="2" s="1"/>
  <c r="CO35" i="2" s="1"/>
  <c r="V32" i="7"/>
  <c r="H27" i="3"/>
  <c r="I38" i="7"/>
  <c r="H3" i="3" s="1"/>
  <c r="O27" i="3"/>
  <c r="P38" i="7"/>
  <c r="O3" i="3" s="1"/>
  <c r="O36" i="3" s="1"/>
  <c r="T38" i="7"/>
  <c r="S3" i="3" s="1"/>
  <c r="S27" i="3"/>
  <c r="K33" i="2"/>
  <c r="W33" i="2" s="1"/>
  <c r="AI33" i="2" s="1"/>
  <c r="AU33" i="2" s="1"/>
  <c r="BG33" i="2" s="1"/>
  <c r="BS33" i="2" s="1"/>
  <c r="CE33" i="2" s="1"/>
  <c r="CQ33" i="2" s="1"/>
  <c r="H6" i="3"/>
  <c r="H75" i="3" s="1"/>
  <c r="S6" i="3"/>
  <c r="S75" i="3" s="1"/>
  <c r="K6" i="3"/>
  <c r="K75" i="3" s="1"/>
  <c r="U31" i="7"/>
  <c r="U30" i="7"/>
  <c r="V34" i="7" s="1"/>
  <c r="J37" i="7"/>
  <c r="J58" i="2"/>
  <c r="J31" i="2"/>
  <c r="J32" i="2" s="1"/>
  <c r="V32" i="2" s="1"/>
  <c r="AH32" i="2" s="1"/>
  <c r="AT32" i="2" s="1"/>
  <c r="BF32" i="2" s="1"/>
  <c r="BR32" i="2" s="1"/>
  <c r="CD32" i="2" s="1"/>
  <c r="CP32" i="2" s="1"/>
  <c r="J28" i="2"/>
  <c r="E16" i="2"/>
  <c r="N37" i="7"/>
  <c r="K35" i="2"/>
  <c r="W35" i="2" s="1"/>
  <c r="AI35" i="2" s="1"/>
  <c r="AU35" i="2" s="1"/>
  <c r="BG35" i="2" s="1"/>
  <c r="BS35" i="2" s="1"/>
  <c r="CE35" i="2" s="1"/>
  <c r="CQ35" i="2" s="1"/>
  <c r="D81" i="3"/>
  <c r="D80" i="3"/>
  <c r="D79" i="3"/>
  <c r="D78" i="3"/>
  <c r="D77" i="3"/>
  <c r="D76" i="3"/>
  <c r="L37" i="4"/>
  <c r="M37" i="4"/>
  <c r="I37" i="4"/>
  <c r="D39" i="4"/>
  <c r="G192" i="4"/>
  <c r="I39" i="4"/>
  <c r="O49" i="3" s="1"/>
  <c r="K192" i="4"/>
  <c r="M39" i="4"/>
  <c r="B39" i="4"/>
  <c r="J39" i="4"/>
  <c r="E37" i="4"/>
  <c r="D37" i="4"/>
  <c r="H39" i="4"/>
  <c r="J10" i="4"/>
  <c r="C10" i="4"/>
  <c r="I10" i="4"/>
  <c r="K10" i="4"/>
  <c r="M10" i="4"/>
  <c r="C39" i="4"/>
  <c r="K12" i="4"/>
  <c r="F10" i="4"/>
  <c r="L10" i="4"/>
  <c r="G39" i="4"/>
  <c r="M192" i="4"/>
  <c r="K39" i="4"/>
  <c r="B37" i="4"/>
  <c r="H192" i="4"/>
  <c r="D10" i="4"/>
  <c r="G10" i="4"/>
  <c r="B12" i="4"/>
  <c r="J35" i="2" l="1"/>
  <c r="V35" i="2" s="1"/>
  <c r="AH35" i="2" s="1"/>
  <c r="AT35" i="2" s="1"/>
  <c r="BF35" i="2" s="1"/>
  <c r="BR35" i="2" s="1"/>
  <c r="CD35" i="2" s="1"/>
  <c r="CP35" i="2" s="1"/>
  <c r="J33" i="2"/>
  <c r="V33" i="2" s="1"/>
  <c r="AH33" i="2" s="1"/>
  <c r="AT33" i="2" s="1"/>
  <c r="BF33" i="2" s="1"/>
  <c r="BR33" i="2" s="1"/>
  <c r="CD33" i="2" s="1"/>
  <c r="CP33" i="2" s="1"/>
  <c r="H58" i="2"/>
  <c r="H31" i="2"/>
  <c r="H41" i="2"/>
  <c r="R38" i="7"/>
  <c r="Q3" i="3" s="1"/>
  <c r="Q27" i="3"/>
  <c r="J59" i="2" s="1"/>
  <c r="V59" i="2" s="1"/>
  <c r="AH59" i="2" s="1"/>
  <c r="AT59" i="2" s="1"/>
  <c r="BF59" i="2" s="1"/>
  <c r="BR59" i="2" s="1"/>
  <c r="CD59" i="2" s="1"/>
  <c r="CP59" i="2" s="1"/>
  <c r="R27" i="3"/>
  <c r="K59" i="2" s="1"/>
  <c r="W59" i="2" s="1"/>
  <c r="AI59" i="2" s="1"/>
  <c r="AU59" i="2" s="1"/>
  <c r="BG59" i="2" s="1"/>
  <c r="BS59" i="2" s="1"/>
  <c r="CE59" i="2" s="1"/>
  <c r="CQ59" i="2" s="1"/>
  <c r="S38" i="7"/>
  <c r="R3" i="3" s="1"/>
  <c r="Q43" i="3"/>
  <c r="J43" i="3"/>
  <c r="K38" i="7"/>
  <c r="J3" i="3" s="1"/>
  <c r="J27" i="3"/>
  <c r="V31" i="7"/>
  <c r="S62" i="3"/>
  <c r="O42" i="3"/>
  <c r="S35" i="3"/>
  <c r="H42" i="3"/>
  <c r="D35" i="4"/>
  <c r="N35" i="3"/>
  <c r="K35" i="4"/>
  <c r="H34" i="3"/>
  <c r="H37" i="3" s="1"/>
  <c r="Q55" i="3"/>
  <c r="Q48" i="3"/>
  <c r="S36" i="3"/>
  <c r="H36" i="3"/>
  <c r="K36" i="3"/>
  <c r="S43" i="3"/>
  <c r="N43" i="3"/>
  <c r="S57" i="3"/>
  <c r="O57" i="3"/>
  <c r="K57" i="3"/>
  <c r="H57" i="3"/>
  <c r="K43" i="3"/>
  <c r="K63" i="3"/>
  <c r="K64" i="3"/>
  <c r="K42" i="3"/>
  <c r="K50" i="3"/>
  <c r="K56" i="3"/>
  <c r="K49" i="3"/>
  <c r="N6" i="3"/>
  <c r="N75" i="3" s="1"/>
  <c r="N49" i="3"/>
  <c r="H43" i="3"/>
  <c r="H64" i="3"/>
  <c r="H50" i="3"/>
  <c r="S64" i="3"/>
  <c r="S50" i="3"/>
  <c r="L35" i="4"/>
  <c r="O55" i="3"/>
  <c r="O34" i="3"/>
  <c r="P42" i="3"/>
  <c r="P56" i="3"/>
  <c r="P63" i="3"/>
  <c r="K62" i="3"/>
  <c r="K34" i="3"/>
  <c r="K48" i="3"/>
  <c r="K55" i="3"/>
  <c r="K41" i="3"/>
  <c r="I60" i="2"/>
  <c r="U59" i="2"/>
  <c r="AG59" i="2" s="1"/>
  <c r="AS59" i="2" s="1"/>
  <c r="BE59" i="2" s="1"/>
  <c r="BQ59" i="2" s="1"/>
  <c r="CC59" i="2" s="1"/>
  <c r="CO59" i="2" s="1"/>
  <c r="N50" i="3"/>
  <c r="N36" i="3"/>
  <c r="N34" i="3"/>
  <c r="N64" i="3"/>
  <c r="P5" i="3"/>
  <c r="S48" i="3"/>
  <c r="P55" i="3"/>
  <c r="P57" i="3"/>
  <c r="N41" i="3"/>
  <c r="M35" i="4"/>
  <c r="S54" i="3" s="1"/>
  <c r="N48" i="3"/>
  <c r="K13" i="3"/>
  <c r="K14" i="3" s="1"/>
  <c r="M27" i="3"/>
  <c r="N38" i="7"/>
  <c r="M3" i="3" s="1"/>
  <c r="J38" i="7"/>
  <c r="I3" i="3" s="1"/>
  <c r="I27" i="3"/>
  <c r="U37" i="7"/>
  <c r="N5" i="3"/>
  <c r="J34" i="2"/>
  <c r="V34" i="2" s="1"/>
  <c r="AH34" i="2" s="1"/>
  <c r="AT34" i="2" s="1"/>
  <c r="BF34" i="2" s="1"/>
  <c r="BR34" i="2" s="1"/>
  <c r="CD34" i="2" s="1"/>
  <c r="CP34" i="2" s="1"/>
  <c r="O5" i="3"/>
  <c r="V33" i="7"/>
  <c r="P62" i="3"/>
  <c r="P43" i="3"/>
  <c r="E81" i="3"/>
  <c r="D18" i="2"/>
  <c r="H28" i="3"/>
  <c r="I28" i="3" s="1"/>
  <c r="K16" i="2"/>
  <c r="O50" i="3"/>
  <c r="O64" i="3"/>
  <c r="S55" i="3"/>
  <c r="O43" i="3"/>
  <c r="O41" i="3"/>
  <c r="P49" i="3"/>
  <c r="O56" i="3"/>
  <c r="J35" i="4"/>
  <c r="O35" i="3"/>
  <c r="F35" i="4"/>
  <c r="E78" i="3"/>
  <c r="N57" i="3"/>
  <c r="S34" i="3"/>
  <c r="P48" i="3"/>
  <c r="H49" i="3"/>
  <c r="P50" i="3"/>
  <c r="N55" i="3"/>
  <c r="S41" i="3"/>
  <c r="I49" i="3"/>
  <c r="N62" i="3"/>
  <c r="P36" i="3"/>
  <c r="O62" i="3"/>
  <c r="I16" i="2"/>
  <c r="J16" i="2"/>
  <c r="O6" i="3"/>
  <c r="O75" i="3" s="1"/>
  <c r="L12" i="2"/>
  <c r="L58" i="2"/>
  <c r="L59" i="2" s="1"/>
  <c r="X59" i="2" s="1"/>
  <c r="AJ59" i="2" s="1"/>
  <c r="AV59" i="2" s="1"/>
  <c r="BH59" i="2" s="1"/>
  <c r="BT59" i="2" s="1"/>
  <c r="CF59" i="2" s="1"/>
  <c r="CR59" i="2" s="1"/>
  <c r="M9" i="2"/>
  <c r="L31" i="2"/>
  <c r="L28" i="2"/>
  <c r="L16" i="2"/>
  <c r="L24" i="2"/>
  <c r="L26" i="2"/>
  <c r="L41" i="2"/>
  <c r="S5" i="3"/>
  <c r="L27" i="3"/>
  <c r="M38" i="7"/>
  <c r="L3" i="3" s="1"/>
  <c r="V36" i="7"/>
  <c r="P41" i="3"/>
  <c r="V35" i="7"/>
  <c r="K34" i="2"/>
  <c r="W34" i="2" s="1"/>
  <c r="AI34" i="2" s="1"/>
  <c r="AU34" i="2" s="1"/>
  <c r="BG34" i="2" s="1"/>
  <c r="BS34" i="2" s="1"/>
  <c r="CE34" i="2" s="1"/>
  <c r="CQ34" i="2" s="1"/>
  <c r="S47" i="3"/>
  <c r="O48" i="3"/>
  <c r="M56" i="3"/>
  <c r="P35" i="3"/>
  <c r="O63" i="3"/>
  <c r="S63" i="3"/>
  <c r="S42" i="3"/>
  <c r="N56" i="3"/>
  <c r="H35" i="3"/>
  <c r="S33" i="3"/>
  <c r="N63" i="3"/>
  <c r="S56" i="3"/>
  <c r="H35" i="4"/>
  <c r="N47" i="3" s="1"/>
  <c r="N42" i="3"/>
  <c r="H56" i="3"/>
  <c r="S49" i="3"/>
  <c r="I56" i="3"/>
  <c r="E35" i="4"/>
  <c r="I35" i="4"/>
  <c r="H63" i="3"/>
  <c r="N10" i="4"/>
  <c r="Q42" i="3"/>
  <c r="Q35" i="3"/>
  <c r="Q63" i="3"/>
  <c r="H5" i="3"/>
  <c r="N12" i="4"/>
  <c r="H62" i="3"/>
  <c r="H41" i="3"/>
  <c r="B35" i="4"/>
  <c r="I63" i="3"/>
  <c r="I42" i="3"/>
  <c r="R61" i="3"/>
  <c r="R40" i="3"/>
  <c r="I35" i="3"/>
  <c r="R47" i="3"/>
  <c r="P40" i="3"/>
  <c r="P61" i="3"/>
  <c r="P33" i="3"/>
  <c r="M35" i="3"/>
  <c r="C35" i="4"/>
  <c r="H55" i="3"/>
  <c r="R33" i="3"/>
  <c r="S61" i="3"/>
  <c r="G35" i="4"/>
  <c r="H69" i="3" l="1"/>
  <c r="P44" i="3"/>
  <c r="P70" i="3" s="1"/>
  <c r="H33" i="2"/>
  <c r="T33" i="2" s="1"/>
  <c r="AF33" i="2" s="1"/>
  <c r="AR33" i="2" s="1"/>
  <c r="BD33" i="2" s="1"/>
  <c r="BP33" i="2" s="1"/>
  <c r="CB33" i="2" s="1"/>
  <c r="CN33" i="2" s="1"/>
  <c r="CZ33" i="2" s="1"/>
  <c r="H35" i="2"/>
  <c r="T35" i="2" s="1"/>
  <c r="AF35" i="2" s="1"/>
  <c r="AR35" i="2" s="1"/>
  <c r="BD35" i="2" s="1"/>
  <c r="BP35" i="2" s="1"/>
  <c r="CB35" i="2" s="1"/>
  <c r="CN35" i="2" s="1"/>
  <c r="CZ35" i="2" s="1"/>
  <c r="H32" i="2"/>
  <c r="T32" i="2" s="1"/>
  <c r="AF32" i="2" s="1"/>
  <c r="AR32" i="2" s="1"/>
  <c r="BD32" i="2" s="1"/>
  <c r="BP32" i="2" s="1"/>
  <c r="CB32" i="2" s="1"/>
  <c r="CN32" i="2" s="1"/>
  <c r="CZ32" i="2" s="1"/>
  <c r="H34" i="2"/>
  <c r="T34" i="2" s="1"/>
  <c r="AF34" i="2" s="1"/>
  <c r="AR34" i="2" s="1"/>
  <c r="BD34" i="2" s="1"/>
  <c r="BP34" i="2" s="1"/>
  <c r="CB34" i="2" s="1"/>
  <c r="CN34" i="2" s="1"/>
  <c r="CZ34" i="2" s="1"/>
  <c r="Q50" i="3"/>
  <c r="Q5" i="3"/>
  <c r="Q64" i="3"/>
  <c r="Q62" i="3"/>
  <c r="Q34" i="3"/>
  <c r="Q41" i="3"/>
  <c r="Q6" i="3"/>
  <c r="Q75" i="3" s="1"/>
  <c r="R50" i="3"/>
  <c r="R5" i="3"/>
  <c r="R64" i="3"/>
  <c r="R6" i="3"/>
  <c r="R75" i="3" s="1"/>
  <c r="R43" i="3"/>
  <c r="J50" i="3"/>
  <c r="J42" i="3"/>
  <c r="J5" i="3"/>
  <c r="J64" i="3"/>
  <c r="J6" i="3"/>
  <c r="J75" i="3" s="1"/>
  <c r="R54" i="3"/>
  <c r="J60" i="2"/>
  <c r="K60" i="2" s="1"/>
  <c r="L60" i="2" s="1"/>
  <c r="S58" i="3"/>
  <c r="S72" i="3" s="1"/>
  <c r="J28" i="3"/>
  <c r="K28" i="3" s="1"/>
  <c r="L28" i="3" s="1"/>
  <c r="M28" i="3" s="1"/>
  <c r="N28" i="3" s="1"/>
  <c r="O28" i="3" s="1"/>
  <c r="P28" i="3" s="1"/>
  <c r="Q28" i="3" s="1"/>
  <c r="R28" i="3" s="1"/>
  <c r="S28" i="3" s="1"/>
  <c r="S51" i="3"/>
  <c r="S71" i="3" s="1"/>
  <c r="S37" i="3"/>
  <c r="S69" i="3" s="1"/>
  <c r="L42" i="2" s="1"/>
  <c r="F27" i="3"/>
  <c r="Q49" i="3"/>
  <c r="Q57" i="3"/>
  <c r="Q36" i="3"/>
  <c r="Q56" i="3"/>
  <c r="R49" i="3"/>
  <c r="R42" i="3"/>
  <c r="R35" i="3"/>
  <c r="R56" i="3"/>
  <c r="R62" i="3"/>
  <c r="R36" i="3"/>
  <c r="R57" i="3"/>
  <c r="R63" i="3"/>
  <c r="R34" i="3"/>
  <c r="R37" i="3" s="1"/>
  <c r="R69" i="3" s="1"/>
  <c r="K42" i="2" s="1"/>
  <c r="R55" i="3"/>
  <c r="R48" i="3"/>
  <c r="R51" i="3" s="1"/>
  <c r="R71" i="3" s="1"/>
  <c r="R41" i="3"/>
  <c r="J36" i="3"/>
  <c r="J57" i="3"/>
  <c r="J35" i="3"/>
  <c r="J49" i="3"/>
  <c r="J63" i="3"/>
  <c r="J55" i="3"/>
  <c r="J62" i="3"/>
  <c r="J48" i="3"/>
  <c r="J41" i="3"/>
  <c r="J56" i="3"/>
  <c r="J34" i="3"/>
  <c r="J54" i="3"/>
  <c r="J47" i="3"/>
  <c r="J51" i="3" s="1"/>
  <c r="J71" i="3" s="1"/>
  <c r="J33" i="3"/>
  <c r="J61" i="3"/>
  <c r="J65" i="3" s="1"/>
  <c r="J73" i="3" s="1"/>
  <c r="J40" i="3"/>
  <c r="Q54" i="3"/>
  <c r="Q40" i="3"/>
  <c r="Q44" i="3" s="1"/>
  <c r="Q70" i="3" s="1"/>
  <c r="Q61" i="3"/>
  <c r="Q65" i="3" s="1"/>
  <c r="Q73" i="3" s="1"/>
  <c r="Q33" i="3"/>
  <c r="Q47" i="3"/>
  <c r="Q51" i="3" s="1"/>
  <c r="Q71" i="3" s="1"/>
  <c r="J42" i="2" s="1"/>
  <c r="L42" i="3"/>
  <c r="L63" i="3"/>
  <c r="L49" i="3"/>
  <c r="L32" i="2"/>
  <c r="X32" i="2" s="1"/>
  <c r="AJ32" i="2" s="1"/>
  <c r="AV32" i="2" s="1"/>
  <c r="BH32" i="2" s="1"/>
  <c r="BT32" i="2" s="1"/>
  <c r="CF32" i="2" s="1"/>
  <c r="CR32" i="2" s="1"/>
  <c r="L35" i="2"/>
  <c r="X35" i="2" s="1"/>
  <c r="AJ35" i="2" s="1"/>
  <c r="AV35" i="2" s="1"/>
  <c r="BH35" i="2" s="1"/>
  <c r="BT35" i="2" s="1"/>
  <c r="CF35" i="2" s="1"/>
  <c r="CR35" i="2" s="1"/>
  <c r="L34" i="2"/>
  <c r="X34" i="2" s="1"/>
  <c r="AJ34" i="2" s="1"/>
  <c r="AV34" i="2" s="1"/>
  <c r="BH34" i="2" s="1"/>
  <c r="BT34" i="2" s="1"/>
  <c r="CF34" i="2" s="1"/>
  <c r="CR34" i="2" s="1"/>
  <c r="L33" i="2"/>
  <c r="X33" i="2" s="1"/>
  <c r="AJ33" i="2" s="1"/>
  <c r="AV33" i="2" s="1"/>
  <c r="BH33" i="2" s="1"/>
  <c r="BT33" i="2" s="1"/>
  <c r="CF33" i="2" s="1"/>
  <c r="CR33" i="2" s="1"/>
  <c r="M64" i="3"/>
  <c r="M55" i="3"/>
  <c r="M34" i="3"/>
  <c r="M50" i="3"/>
  <c r="M6" i="3"/>
  <c r="M75" i="3" s="1"/>
  <c r="M62" i="3"/>
  <c r="M57" i="3"/>
  <c r="M42" i="3"/>
  <c r="M48" i="3"/>
  <c r="M5" i="3"/>
  <c r="M36" i="3"/>
  <c r="M43" i="3"/>
  <c r="M41" i="3"/>
  <c r="M63" i="3"/>
  <c r="N9" i="2"/>
  <c r="M12" i="2"/>
  <c r="M58" i="2"/>
  <c r="M59" i="2" s="1"/>
  <c r="Y59" i="2" s="1"/>
  <c r="AK59" i="2" s="1"/>
  <c r="AW59" i="2" s="1"/>
  <c r="BI59" i="2" s="1"/>
  <c r="BU59" i="2" s="1"/>
  <c r="CG59" i="2" s="1"/>
  <c r="CS59" i="2" s="1"/>
  <c r="M16" i="2"/>
  <c r="M28" i="2"/>
  <c r="M41" i="2"/>
  <c r="M26" i="2"/>
  <c r="M31" i="2"/>
  <c r="M24" i="2"/>
  <c r="V37" i="7"/>
  <c r="U38" i="7"/>
  <c r="S40" i="3"/>
  <c r="S44" i="3" s="1"/>
  <c r="S70" i="3" s="1"/>
  <c r="P37" i="3"/>
  <c r="P69" i="3" s="1"/>
  <c r="L6" i="3"/>
  <c r="L75" i="3" s="1"/>
  <c r="L57" i="3"/>
  <c r="L64" i="3"/>
  <c r="L62" i="3"/>
  <c r="L36" i="3"/>
  <c r="L48" i="3"/>
  <c r="L5" i="3"/>
  <c r="L41" i="3"/>
  <c r="L35" i="3"/>
  <c r="F35" i="3" s="1"/>
  <c r="L50" i="3"/>
  <c r="L55" i="3"/>
  <c r="L43" i="3"/>
  <c r="L34" i="3"/>
  <c r="E80" i="3"/>
  <c r="L61" i="3"/>
  <c r="L54" i="3"/>
  <c r="L33" i="3"/>
  <c r="L37" i="3" s="1"/>
  <c r="L69" i="3" s="1"/>
  <c r="L47" i="3"/>
  <c r="L51" i="3" s="1"/>
  <c r="L71" i="3" s="1"/>
  <c r="L40" i="3"/>
  <c r="P54" i="3"/>
  <c r="P58" i="3" s="1"/>
  <c r="P72" i="3" s="1"/>
  <c r="P47" i="3"/>
  <c r="P51" i="3" s="1"/>
  <c r="P71" i="3" s="1"/>
  <c r="I42" i="2" s="1"/>
  <c r="E77" i="3"/>
  <c r="O74" i="3"/>
  <c r="O13" i="3"/>
  <c r="O14" i="3" s="1"/>
  <c r="E79" i="3"/>
  <c r="S74" i="3"/>
  <c r="S13" i="3"/>
  <c r="S14" i="3" s="1"/>
  <c r="N74" i="3"/>
  <c r="N13" i="3"/>
  <c r="N14" i="3" s="1"/>
  <c r="N51" i="3"/>
  <c r="N71" i="3" s="1"/>
  <c r="M49" i="3"/>
  <c r="P65" i="3"/>
  <c r="P73" i="3" s="1"/>
  <c r="E76" i="3"/>
  <c r="E18" i="2"/>
  <c r="I6" i="3"/>
  <c r="I41" i="3"/>
  <c r="I36" i="3"/>
  <c r="I5" i="3"/>
  <c r="I57" i="3"/>
  <c r="I48" i="3"/>
  <c r="I55" i="3"/>
  <c r="I64" i="3"/>
  <c r="I43" i="3"/>
  <c r="I50" i="3"/>
  <c r="I34" i="3"/>
  <c r="I62" i="3"/>
  <c r="P74" i="3"/>
  <c r="P13" i="3"/>
  <c r="P14" i="3" s="1"/>
  <c r="L56" i="3"/>
  <c r="N54" i="3"/>
  <c r="N58" i="3" s="1"/>
  <c r="N72" i="3" s="1"/>
  <c r="N40" i="3"/>
  <c r="N44" i="3" s="1"/>
  <c r="N70" i="3" s="1"/>
  <c r="S65" i="3"/>
  <c r="S73" i="3" s="1"/>
  <c r="N33" i="3"/>
  <c r="N37" i="3" s="1"/>
  <c r="N69" i="3" s="1"/>
  <c r="O33" i="3"/>
  <c r="O37" i="3" s="1"/>
  <c r="O69" i="3" s="1"/>
  <c r="O40" i="3"/>
  <c r="O44" i="3" s="1"/>
  <c r="O70" i="3" s="1"/>
  <c r="O54" i="3"/>
  <c r="O58" i="3" s="1"/>
  <c r="O72" i="3" s="1"/>
  <c r="O61" i="3"/>
  <c r="O65" i="3" s="1"/>
  <c r="O73" i="3" s="1"/>
  <c r="O47" i="3"/>
  <c r="O51" i="3" s="1"/>
  <c r="O71" i="3" s="1"/>
  <c r="N61" i="3"/>
  <c r="N65" i="3" s="1"/>
  <c r="N73" i="3" s="1"/>
  <c r="K61" i="3"/>
  <c r="K65" i="3" s="1"/>
  <c r="K73" i="3" s="1"/>
  <c r="K54" i="3"/>
  <c r="K58" i="3" s="1"/>
  <c r="K72" i="3" s="1"/>
  <c r="K40" i="3"/>
  <c r="K44" i="3" s="1"/>
  <c r="K70" i="3" s="1"/>
  <c r="K33" i="3"/>
  <c r="K37" i="3" s="1"/>
  <c r="K69" i="3" s="1"/>
  <c r="K47" i="3"/>
  <c r="K51" i="3" s="1"/>
  <c r="K71" i="3" s="1"/>
  <c r="F42" i="3"/>
  <c r="M61" i="3"/>
  <c r="M65" i="3" s="1"/>
  <c r="M73" i="3" s="1"/>
  <c r="M33" i="3"/>
  <c r="M54" i="3"/>
  <c r="M58" i="3" s="1"/>
  <c r="M72" i="3" s="1"/>
  <c r="M47" i="3"/>
  <c r="M40" i="3"/>
  <c r="M44" i="3" s="1"/>
  <c r="M70" i="3" s="1"/>
  <c r="I40" i="3"/>
  <c r="I61" i="3"/>
  <c r="I33" i="3"/>
  <c r="I47" i="3"/>
  <c r="I54" i="3"/>
  <c r="H40" i="3"/>
  <c r="H44" i="3" s="1"/>
  <c r="N35" i="4"/>
  <c r="H61" i="3"/>
  <c r="H33" i="3"/>
  <c r="H47" i="3"/>
  <c r="H54" i="3"/>
  <c r="H74" i="3"/>
  <c r="H13" i="3"/>
  <c r="J37" i="3" l="1"/>
  <c r="J69" i="3" s="1"/>
  <c r="Q37" i="3"/>
  <c r="Q69" i="3" s="1"/>
  <c r="F62" i="3"/>
  <c r="F57" i="3"/>
  <c r="F56" i="3"/>
  <c r="F55" i="3"/>
  <c r="J58" i="3"/>
  <c r="J72" i="3" s="1"/>
  <c r="Q58" i="3"/>
  <c r="Q72" i="3" s="1"/>
  <c r="I51" i="3"/>
  <c r="I71" i="3" s="1"/>
  <c r="I44" i="3"/>
  <c r="F43" i="3"/>
  <c r="J44" i="3"/>
  <c r="J70" i="3" s="1"/>
  <c r="R44" i="3"/>
  <c r="R70" i="3" s="1"/>
  <c r="I37" i="3"/>
  <c r="Q13" i="3"/>
  <c r="Q14" i="3" s="1"/>
  <c r="Q74" i="3"/>
  <c r="R13" i="3"/>
  <c r="R14" i="3" s="1"/>
  <c r="R74" i="3"/>
  <c r="J13" i="3"/>
  <c r="J14" i="3" s="1"/>
  <c r="J74" i="3"/>
  <c r="R58" i="3"/>
  <c r="R72" i="3" s="1"/>
  <c r="R65" i="3"/>
  <c r="R73" i="3" s="1"/>
  <c r="F41" i="3"/>
  <c r="F63" i="3"/>
  <c r="L58" i="3"/>
  <c r="L72" i="3" s="1"/>
  <c r="F49" i="3"/>
  <c r="I75" i="3"/>
  <c r="D75" i="3" s="1"/>
  <c r="E75" i="3" s="1"/>
  <c r="F6" i="3"/>
  <c r="M51" i="3"/>
  <c r="M71" i="3" s="1"/>
  <c r="C18" i="2"/>
  <c r="D20" i="2"/>
  <c r="L18" i="2"/>
  <c r="M18" i="2"/>
  <c r="F64" i="3"/>
  <c r="I74" i="3"/>
  <c r="I13" i="3"/>
  <c r="J18" i="2"/>
  <c r="I65" i="3"/>
  <c r="I73" i="3" s="1"/>
  <c r="F34" i="3"/>
  <c r="F36" i="3"/>
  <c r="K18" i="2"/>
  <c r="L44" i="3"/>
  <c r="L70" i="3" s="1"/>
  <c r="L65" i="3"/>
  <c r="L73" i="3" s="1"/>
  <c r="L74" i="3"/>
  <c r="L13" i="3"/>
  <c r="L14" i="3" s="1"/>
  <c r="DE10" i="2"/>
  <c r="C12" i="2"/>
  <c r="C14" i="2"/>
  <c r="C16" i="2"/>
  <c r="M32" i="2"/>
  <c r="Y32" i="2" s="1"/>
  <c r="AK32" i="2" s="1"/>
  <c r="AW32" i="2" s="1"/>
  <c r="BI32" i="2" s="1"/>
  <c r="BU32" i="2" s="1"/>
  <c r="CG32" i="2" s="1"/>
  <c r="CS32" i="2" s="1"/>
  <c r="M33" i="2"/>
  <c r="Y33" i="2" s="1"/>
  <c r="AK33" i="2" s="1"/>
  <c r="AW33" i="2" s="1"/>
  <c r="BI33" i="2" s="1"/>
  <c r="BU33" i="2" s="1"/>
  <c r="CG33" i="2" s="1"/>
  <c r="CS33" i="2" s="1"/>
  <c r="M34" i="2"/>
  <c r="Y34" i="2" s="1"/>
  <c r="AK34" i="2" s="1"/>
  <c r="AW34" i="2" s="1"/>
  <c r="BI34" i="2" s="1"/>
  <c r="BU34" i="2" s="1"/>
  <c r="CG34" i="2" s="1"/>
  <c r="CS34" i="2" s="1"/>
  <c r="M35" i="2"/>
  <c r="Y35" i="2" s="1"/>
  <c r="AK35" i="2" s="1"/>
  <c r="AW35" i="2" s="1"/>
  <c r="BI35" i="2" s="1"/>
  <c r="BU35" i="2" s="1"/>
  <c r="CG35" i="2" s="1"/>
  <c r="CS35" i="2" s="1"/>
  <c r="N12" i="2"/>
  <c r="N31" i="2"/>
  <c r="O9" i="2"/>
  <c r="N28" i="2"/>
  <c r="N58" i="2"/>
  <c r="N59" i="2" s="1"/>
  <c r="Z59" i="2" s="1"/>
  <c r="AL59" i="2" s="1"/>
  <c r="N26" i="2"/>
  <c r="N18" i="2"/>
  <c r="N24" i="2"/>
  <c r="N41" i="2"/>
  <c r="N16" i="2"/>
  <c r="F5" i="3"/>
  <c r="I58" i="3"/>
  <c r="I72" i="3" s="1"/>
  <c r="I70" i="3"/>
  <c r="M37" i="3"/>
  <c r="M69" i="3" s="1"/>
  <c r="F50" i="3"/>
  <c r="F48" i="3"/>
  <c r="I18" i="2"/>
  <c r="M60" i="2"/>
  <c r="M13" i="3"/>
  <c r="M14" i="3" s="1"/>
  <c r="M74" i="3"/>
  <c r="H15" i="3"/>
  <c r="H14" i="3"/>
  <c r="H51" i="3"/>
  <c r="F47" i="3"/>
  <c r="F40" i="3"/>
  <c r="H58" i="3"/>
  <c r="F54" i="3"/>
  <c r="F33" i="3"/>
  <c r="F61" i="3"/>
  <c r="I69" i="3" l="1"/>
  <c r="N42" i="2" s="1"/>
  <c r="F37" i="3"/>
  <c r="N60" i="2"/>
  <c r="D74" i="3"/>
  <c r="E74" i="3" s="1"/>
  <c r="I15" i="3"/>
  <c r="J15" i="3" s="1"/>
  <c r="K15" i="3" s="1"/>
  <c r="L15" i="3" s="1"/>
  <c r="M15" i="3" s="1"/>
  <c r="N15" i="3" s="1"/>
  <c r="O15" i="3" s="1"/>
  <c r="P15" i="3" s="1"/>
  <c r="Q15" i="3" s="1"/>
  <c r="R15" i="3" s="1"/>
  <c r="S15" i="3" s="1"/>
  <c r="I14" i="3"/>
  <c r="F13" i="3"/>
  <c r="F14" i="3" s="1"/>
  <c r="N34" i="2"/>
  <c r="Z34" i="2" s="1"/>
  <c r="AL34" i="2" s="1"/>
  <c r="AX34" i="2" s="1"/>
  <c r="BJ34" i="2" s="1"/>
  <c r="BV34" i="2" s="1"/>
  <c r="CH34" i="2" s="1"/>
  <c r="CT34" i="2" s="1"/>
  <c r="N32" i="2"/>
  <c r="Z32" i="2" s="1"/>
  <c r="AL32" i="2" s="1"/>
  <c r="AX32" i="2" s="1"/>
  <c r="BJ32" i="2" s="1"/>
  <c r="BV32" i="2" s="1"/>
  <c r="CH32" i="2" s="1"/>
  <c r="CT32" i="2" s="1"/>
  <c r="N35" i="2"/>
  <c r="Z35" i="2" s="1"/>
  <c r="AL35" i="2" s="1"/>
  <c r="AX35" i="2" s="1"/>
  <c r="BJ35" i="2" s="1"/>
  <c r="BV35" i="2" s="1"/>
  <c r="CH35" i="2" s="1"/>
  <c r="CT35" i="2" s="1"/>
  <c r="N33" i="2"/>
  <c r="Z33" i="2" s="1"/>
  <c r="AL33" i="2" s="1"/>
  <c r="AX33" i="2" s="1"/>
  <c r="BJ33" i="2" s="1"/>
  <c r="BV33" i="2" s="1"/>
  <c r="CH33" i="2" s="1"/>
  <c r="CT33" i="2" s="1"/>
  <c r="E20" i="2"/>
  <c r="L20" i="2" s="1"/>
  <c r="AX59" i="2"/>
  <c r="BJ59" i="2" s="1"/>
  <c r="BV59" i="2" s="1"/>
  <c r="CH59" i="2" s="1"/>
  <c r="CT59" i="2" s="1"/>
  <c r="O28" i="2"/>
  <c r="O31" i="2"/>
  <c r="O18" i="2"/>
  <c r="O26" i="2"/>
  <c r="O41" i="2"/>
  <c r="O42" i="2" s="1"/>
  <c r="O16" i="2"/>
  <c r="O24" i="2"/>
  <c r="O12" i="2"/>
  <c r="P9" i="2"/>
  <c r="O58" i="2"/>
  <c r="O59" i="2" s="1"/>
  <c r="O60" i="2" s="1"/>
  <c r="H72" i="3"/>
  <c r="F58" i="3"/>
  <c r="H73" i="3"/>
  <c r="D73" i="3" s="1"/>
  <c r="E73" i="3" s="1"/>
  <c r="F65" i="3"/>
  <c r="H71" i="3"/>
  <c r="F51" i="3"/>
  <c r="H70" i="3"/>
  <c r="D70" i="3" s="1"/>
  <c r="E70" i="3" s="1"/>
  <c r="F44" i="3"/>
  <c r="I20" i="2" l="1"/>
  <c r="M20" i="2"/>
  <c r="O20" i="2"/>
  <c r="Q9" i="2"/>
  <c r="P12" i="2"/>
  <c r="P41" i="2"/>
  <c r="P42" i="2" s="1"/>
  <c r="P18" i="2"/>
  <c r="P28" i="2"/>
  <c r="P31" i="2"/>
  <c r="P20" i="2"/>
  <c r="P58" i="2"/>
  <c r="P59" i="2" s="1"/>
  <c r="P16" i="2"/>
  <c r="P24" i="2"/>
  <c r="P26" i="2"/>
  <c r="AA59" i="2"/>
  <c r="C20" i="2"/>
  <c r="D22" i="2"/>
  <c r="N20" i="2"/>
  <c r="O32" i="2"/>
  <c r="AA32" i="2" s="1"/>
  <c r="AM32" i="2" s="1"/>
  <c r="AY32" i="2" s="1"/>
  <c r="BK32" i="2" s="1"/>
  <c r="BW32" i="2" s="1"/>
  <c r="CI32" i="2" s="1"/>
  <c r="CU32" i="2" s="1"/>
  <c r="O34" i="2"/>
  <c r="AA34" i="2" s="1"/>
  <c r="AM34" i="2" s="1"/>
  <c r="AY34" i="2" s="1"/>
  <c r="BK34" i="2" s="1"/>
  <c r="BW34" i="2" s="1"/>
  <c r="CI34" i="2" s="1"/>
  <c r="CU34" i="2" s="1"/>
  <c r="O33" i="2"/>
  <c r="AA33" i="2" s="1"/>
  <c r="AM33" i="2" s="1"/>
  <c r="AY33" i="2" s="1"/>
  <c r="BK33" i="2" s="1"/>
  <c r="BW33" i="2" s="1"/>
  <c r="CI33" i="2" s="1"/>
  <c r="CU33" i="2" s="1"/>
  <c r="O35" i="2"/>
  <c r="AA35" i="2" s="1"/>
  <c r="AM35" i="2" s="1"/>
  <c r="AY35" i="2" s="1"/>
  <c r="BK35" i="2" s="1"/>
  <c r="BW35" i="2" s="1"/>
  <c r="CI35" i="2" s="1"/>
  <c r="CU35" i="2" s="1"/>
  <c r="J20" i="2"/>
  <c r="K20" i="2"/>
  <c r="M42" i="2"/>
  <c r="E69" i="3"/>
  <c r="D71" i="3"/>
  <c r="E71" i="3" s="1"/>
  <c r="D72" i="3"/>
  <c r="E72" i="3" s="1"/>
  <c r="AB59" i="2" l="1"/>
  <c r="R9" i="2"/>
  <c r="Q12" i="2"/>
  <c r="Q58" i="2"/>
  <c r="Q59" i="2" s="1"/>
  <c r="Q18" i="2"/>
  <c r="Q28" i="2"/>
  <c r="Q41" i="2"/>
  <c r="Q42" i="2" s="1"/>
  <c r="Q31" i="2"/>
  <c r="Q24" i="2"/>
  <c r="Q20" i="2"/>
  <c r="Q26" i="2"/>
  <c r="Q16" i="2"/>
  <c r="E22" i="2"/>
  <c r="P33" i="2"/>
  <c r="AB33" i="2" s="1"/>
  <c r="AN33" i="2" s="1"/>
  <c r="AZ33" i="2" s="1"/>
  <c r="BL33" i="2" s="1"/>
  <c r="BX33" i="2" s="1"/>
  <c r="CJ33" i="2" s="1"/>
  <c r="CV33" i="2" s="1"/>
  <c r="P32" i="2"/>
  <c r="AB32" i="2" s="1"/>
  <c r="AN32" i="2" s="1"/>
  <c r="AZ32" i="2" s="1"/>
  <c r="BL32" i="2" s="1"/>
  <c r="BX32" i="2" s="1"/>
  <c r="CJ32" i="2" s="1"/>
  <c r="CV32" i="2" s="1"/>
  <c r="P34" i="2"/>
  <c r="AB34" i="2" s="1"/>
  <c r="AN34" i="2" s="1"/>
  <c r="AZ34" i="2" s="1"/>
  <c r="BL34" i="2" s="1"/>
  <c r="BX34" i="2" s="1"/>
  <c r="CJ34" i="2" s="1"/>
  <c r="CV34" i="2" s="1"/>
  <c r="P35" i="2"/>
  <c r="AB35" i="2" s="1"/>
  <c r="AN35" i="2" s="1"/>
  <c r="AZ35" i="2" s="1"/>
  <c r="BL35" i="2" s="1"/>
  <c r="BX35" i="2" s="1"/>
  <c r="CJ35" i="2" s="1"/>
  <c r="CV35" i="2" s="1"/>
  <c r="AM59" i="2"/>
  <c r="P60" i="2"/>
  <c r="Q60" i="2" l="1"/>
  <c r="K22" i="2"/>
  <c r="L22" i="2"/>
  <c r="R28" i="2"/>
  <c r="R31" i="2"/>
  <c r="S9" i="2"/>
  <c r="R26" i="2"/>
  <c r="R58" i="2"/>
  <c r="R59" i="2" s="1"/>
  <c r="AD59" i="2" s="1"/>
  <c r="AP59" i="2" s="1"/>
  <c r="BB59" i="2" s="1"/>
  <c r="BN59" i="2" s="1"/>
  <c r="BZ59" i="2" s="1"/>
  <c r="CL59" i="2" s="1"/>
  <c r="CX59" i="2" s="1"/>
  <c r="R24" i="2"/>
  <c r="R12" i="2"/>
  <c r="R41" i="2"/>
  <c r="R42" i="2" s="1"/>
  <c r="R18" i="2"/>
  <c r="R22" i="2"/>
  <c r="R20" i="2"/>
  <c r="R14" i="2"/>
  <c r="N22" i="2"/>
  <c r="Q35" i="2"/>
  <c r="AC35" i="2" s="1"/>
  <c r="AO35" i="2" s="1"/>
  <c r="BA35" i="2" s="1"/>
  <c r="BM35" i="2" s="1"/>
  <c r="BY35" i="2" s="1"/>
  <c r="CK35" i="2" s="1"/>
  <c r="CW35" i="2" s="1"/>
  <c r="Q33" i="2"/>
  <c r="AC33" i="2" s="1"/>
  <c r="AO33" i="2" s="1"/>
  <c r="BA33" i="2" s="1"/>
  <c r="BM33" i="2" s="1"/>
  <c r="BY33" i="2" s="1"/>
  <c r="CK33" i="2" s="1"/>
  <c r="CW33" i="2" s="1"/>
  <c r="Q32" i="2"/>
  <c r="AC32" i="2" s="1"/>
  <c r="AO32" i="2" s="1"/>
  <c r="BA32" i="2" s="1"/>
  <c r="BM32" i="2" s="1"/>
  <c r="BY32" i="2" s="1"/>
  <c r="CK32" i="2" s="1"/>
  <c r="CW32" i="2" s="1"/>
  <c r="Q34" i="2"/>
  <c r="AC34" i="2" s="1"/>
  <c r="AO34" i="2" s="1"/>
  <c r="BA34" i="2" s="1"/>
  <c r="BM34" i="2" s="1"/>
  <c r="BY34" i="2" s="1"/>
  <c r="CK34" i="2" s="1"/>
  <c r="CW34" i="2" s="1"/>
  <c r="AC59" i="2"/>
  <c r="AY59" i="2"/>
  <c r="BK59" i="2" s="1"/>
  <c r="BW59" i="2" s="1"/>
  <c r="CI59" i="2" s="1"/>
  <c r="CU59" i="2" s="1"/>
  <c r="C22" i="2"/>
  <c r="F7" i="2"/>
  <c r="P22" i="2"/>
  <c r="O22" i="2"/>
  <c r="J22" i="2"/>
  <c r="Q22" i="2"/>
  <c r="M22" i="2"/>
  <c r="I22" i="2"/>
  <c r="AN59" i="2"/>
  <c r="R60" i="2" l="1"/>
  <c r="R46" i="2"/>
  <c r="AZ59" i="2"/>
  <c r="BL59" i="2" s="1"/>
  <c r="BX59" i="2" s="1"/>
  <c r="CJ59" i="2" s="1"/>
  <c r="CV59" i="2" s="1"/>
  <c r="I45" i="2"/>
  <c r="I46" i="2"/>
  <c r="K48" i="2"/>
  <c r="J47" i="2"/>
  <c r="I48" i="2"/>
  <c r="I43" i="2"/>
  <c r="J44" i="2"/>
  <c r="I50" i="2"/>
  <c r="K44" i="2"/>
  <c r="K47" i="2"/>
  <c r="K46" i="2"/>
  <c r="J46" i="2"/>
  <c r="J50" i="2"/>
  <c r="I47" i="2"/>
  <c r="L43" i="2"/>
  <c r="K49" i="2"/>
  <c r="J48" i="2"/>
  <c r="I49" i="2"/>
  <c r="K43" i="2"/>
  <c r="I44" i="2"/>
  <c r="L44" i="2"/>
  <c r="K45" i="2"/>
  <c r="K50" i="2"/>
  <c r="J45" i="2"/>
  <c r="J49" i="2"/>
  <c r="L49" i="2"/>
  <c r="L46" i="2"/>
  <c r="L47" i="2"/>
  <c r="L45" i="2"/>
  <c r="L50" i="2"/>
  <c r="L48" i="2"/>
  <c r="M49" i="2"/>
  <c r="M45" i="2"/>
  <c r="M47" i="2"/>
  <c r="M46" i="2"/>
  <c r="J43" i="2"/>
  <c r="M48" i="2"/>
  <c r="M50" i="2"/>
  <c r="M44" i="2"/>
  <c r="N47" i="2"/>
  <c r="N43" i="2"/>
  <c r="N45" i="2"/>
  <c r="N50" i="2"/>
  <c r="N48" i="2"/>
  <c r="N49" i="2"/>
  <c r="N44" i="2"/>
  <c r="N46" i="2"/>
  <c r="M43" i="2"/>
  <c r="O48" i="2"/>
  <c r="O43" i="2"/>
  <c r="O45" i="2"/>
  <c r="O49" i="2"/>
  <c r="O44" i="2"/>
  <c r="O47" i="2"/>
  <c r="O50" i="2"/>
  <c r="O46" i="2"/>
  <c r="P48" i="2"/>
  <c r="P43" i="2"/>
  <c r="P45" i="2"/>
  <c r="P49" i="2"/>
  <c r="P46" i="2"/>
  <c r="P47" i="2"/>
  <c r="P50" i="2"/>
  <c r="P44" i="2"/>
  <c r="Q49" i="2"/>
  <c r="Q43" i="2"/>
  <c r="Q45" i="2"/>
  <c r="Q44" i="2"/>
  <c r="Q47" i="2"/>
  <c r="Q48" i="2"/>
  <c r="Q50" i="2"/>
  <c r="Q46" i="2"/>
  <c r="R43" i="2"/>
  <c r="S28" i="2"/>
  <c r="S24" i="2"/>
  <c r="S26" i="2"/>
  <c r="S31" i="2"/>
  <c r="S41" i="2"/>
  <c r="S43" i="2" s="1"/>
  <c r="T9" i="2"/>
  <c r="S12" i="2"/>
  <c r="S58" i="2"/>
  <c r="S59" i="2" s="1"/>
  <c r="S14" i="2"/>
  <c r="S20" i="2"/>
  <c r="S22" i="2"/>
  <c r="S18" i="2"/>
  <c r="S44" i="2"/>
  <c r="R49" i="2"/>
  <c r="R45" i="2"/>
  <c r="C29" i="2"/>
  <c r="R50" i="2"/>
  <c r="R48" i="2"/>
  <c r="AO59" i="2"/>
  <c r="R44" i="2"/>
  <c r="R32" i="2"/>
  <c r="AD32" i="2" s="1"/>
  <c r="AP32" i="2" s="1"/>
  <c r="BB32" i="2" s="1"/>
  <c r="BN32" i="2" s="1"/>
  <c r="BZ32" i="2" s="1"/>
  <c r="CL32" i="2" s="1"/>
  <c r="CX32" i="2" s="1"/>
  <c r="R33" i="2"/>
  <c r="AD33" i="2" s="1"/>
  <c r="AP33" i="2" s="1"/>
  <c r="BB33" i="2" s="1"/>
  <c r="BN33" i="2" s="1"/>
  <c r="BZ33" i="2" s="1"/>
  <c r="CL33" i="2" s="1"/>
  <c r="CX33" i="2" s="1"/>
  <c r="R35" i="2"/>
  <c r="AD35" i="2" s="1"/>
  <c r="AP35" i="2" s="1"/>
  <c r="BB35" i="2" s="1"/>
  <c r="BN35" i="2" s="1"/>
  <c r="BZ35" i="2" s="1"/>
  <c r="CL35" i="2" s="1"/>
  <c r="CX35" i="2" s="1"/>
  <c r="R34" i="2"/>
  <c r="AD34" i="2" s="1"/>
  <c r="AP34" i="2" s="1"/>
  <c r="BB34" i="2" s="1"/>
  <c r="BN34" i="2" s="1"/>
  <c r="BZ34" i="2" s="1"/>
  <c r="CL34" i="2" s="1"/>
  <c r="CX34" i="2" s="1"/>
  <c r="R47" i="2"/>
  <c r="S60" i="2" l="1"/>
  <c r="R51" i="2"/>
  <c r="R61" i="2" s="1"/>
  <c r="S42" i="2"/>
  <c r="S49" i="2"/>
  <c r="T12" i="2"/>
  <c r="T14" i="2"/>
  <c r="T31" i="2"/>
  <c r="T22" i="2"/>
  <c r="T28" i="2"/>
  <c r="T41" i="2"/>
  <c r="T48" i="2" s="1"/>
  <c r="T58" i="2"/>
  <c r="T59" i="2" s="1"/>
  <c r="U9" i="2"/>
  <c r="T26" i="2"/>
  <c r="T20" i="2"/>
  <c r="T24" i="2"/>
  <c r="T18" i="2"/>
  <c r="Q51" i="2"/>
  <c r="P51" i="2"/>
  <c r="O51" i="2"/>
  <c r="I51" i="2"/>
  <c r="S48" i="2"/>
  <c r="N51" i="2"/>
  <c r="D59" i="2"/>
  <c r="D7" i="2"/>
  <c r="AE59" i="2"/>
  <c r="S35" i="2"/>
  <c r="AE35" i="2" s="1"/>
  <c r="AQ35" i="2" s="1"/>
  <c r="BC35" i="2" s="1"/>
  <c r="BO35" i="2" s="1"/>
  <c r="CA35" i="2" s="1"/>
  <c r="CM35" i="2" s="1"/>
  <c r="CY35" i="2" s="1"/>
  <c r="S32" i="2"/>
  <c r="AE32" i="2" s="1"/>
  <c r="AQ32" i="2" s="1"/>
  <c r="BC32" i="2" s="1"/>
  <c r="BO32" i="2" s="1"/>
  <c r="CA32" i="2" s="1"/>
  <c r="CM32" i="2" s="1"/>
  <c r="CY32" i="2" s="1"/>
  <c r="S34" i="2"/>
  <c r="AE34" i="2" s="1"/>
  <c r="AQ34" i="2" s="1"/>
  <c r="BC34" i="2" s="1"/>
  <c r="BO34" i="2" s="1"/>
  <c r="CA34" i="2" s="1"/>
  <c r="CM34" i="2" s="1"/>
  <c r="CY34" i="2" s="1"/>
  <c r="S33" i="2"/>
  <c r="AE33" i="2" s="1"/>
  <c r="AQ33" i="2" s="1"/>
  <c r="BC33" i="2" s="1"/>
  <c r="BO33" i="2" s="1"/>
  <c r="CA33" i="2" s="1"/>
  <c r="CM33" i="2" s="1"/>
  <c r="CY33" i="2" s="1"/>
  <c r="S46" i="2"/>
  <c r="S47" i="2"/>
  <c r="M51" i="2"/>
  <c r="J51" i="2"/>
  <c r="BA59" i="2"/>
  <c r="BM59" i="2" s="1"/>
  <c r="BY59" i="2" s="1"/>
  <c r="CK59" i="2" s="1"/>
  <c r="CW59" i="2" s="1"/>
  <c r="S50" i="2"/>
  <c r="S45" i="2"/>
  <c r="K51" i="2"/>
  <c r="L51" i="2"/>
  <c r="R16" i="2" l="1"/>
  <c r="S51" i="2"/>
  <c r="S16" i="2" s="1"/>
  <c r="T42" i="2"/>
  <c r="T45" i="2"/>
  <c r="T47" i="2"/>
  <c r="T49" i="2"/>
  <c r="T43" i="2"/>
  <c r="T44" i="2"/>
  <c r="AQ59" i="2"/>
  <c r="N61" i="2"/>
  <c r="N14" i="2"/>
  <c r="AF59" i="2"/>
  <c r="O14" i="2"/>
  <c r="O61" i="2"/>
  <c r="K14" i="2"/>
  <c r="K61" i="2"/>
  <c r="M14" i="2"/>
  <c r="M61" i="2"/>
  <c r="T60" i="2"/>
  <c r="U60" i="2" s="1"/>
  <c r="V60" i="2" s="1"/>
  <c r="W60" i="2" s="1"/>
  <c r="X60" i="2" s="1"/>
  <c r="Y60" i="2" s="1"/>
  <c r="Z60" i="2" s="1"/>
  <c r="AA60" i="2" s="1"/>
  <c r="AB60" i="2" s="1"/>
  <c r="AC60" i="2" s="1"/>
  <c r="AD60" i="2" s="1"/>
  <c r="AE60" i="2" s="1"/>
  <c r="I12" i="2"/>
  <c r="I61" i="2"/>
  <c r="I62" i="2" s="1"/>
  <c r="I53" i="2"/>
  <c r="J53" i="2" s="1"/>
  <c r="K53" i="2" s="1"/>
  <c r="L53" i="2" s="1"/>
  <c r="M53" i="2" s="1"/>
  <c r="N53" i="2" s="1"/>
  <c r="O53" i="2" s="1"/>
  <c r="P53" i="2" s="1"/>
  <c r="Q53" i="2" s="1"/>
  <c r="R53" i="2" s="1"/>
  <c r="P14" i="2"/>
  <c r="P61" i="2"/>
  <c r="T50" i="2"/>
  <c r="L14" i="2"/>
  <c r="L61" i="2"/>
  <c r="J61" i="2"/>
  <c r="J12" i="2"/>
  <c r="Q14" i="2"/>
  <c r="Q61" i="2"/>
  <c r="V9" i="2"/>
  <c r="U14" i="2"/>
  <c r="U41" i="2"/>
  <c r="U12" i="2"/>
  <c r="U31" i="2"/>
  <c r="U24" i="2"/>
  <c r="U28" i="2"/>
  <c r="U20" i="2"/>
  <c r="U26" i="2"/>
  <c r="U58" i="2"/>
  <c r="U22" i="2"/>
  <c r="U16" i="2"/>
  <c r="T46" i="2"/>
  <c r="S61" i="2" l="1"/>
  <c r="S53" i="2"/>
  <c r="AF60" i="2"/>
  <c r="AG60" i="2" s="1"/>
  <c r="AH60" i="2" s="1"/>
  <c r="AI60" i="2" s="1"/>
  <c r="AJ60" i="2" s="1"/>
  <c r="AK60" i="2" s="1"/>
  <c r="AL60" i="2" s="1"/>
  <c r="AM60" i="2" s="1"/>
  <c r="AN60" i="2" s="1"/>
  <c r="AO60" i="2" s="1"/>
  <c r="AP60" i="2" s="1"/>
  <c r="AQ60" i="2" s="1"/>
  <c r="T51" i="2"/>
  <c r="T16" i="2" s="1"/>
  <c r="U42" i="2"/>
  <c r="U49" i="2"/>
  <c r="U43" i="2"/>
  <c r="U48" i="2"/>
  <c r="BC59" i="2"/>
  <c r="BO59" i="2" s="1"/>
  <c r="CA59" i="2" s="1"/>
  <c r="CM59" i="2" s="1"/>
  <c r="CY59" i="2" s="1"/>
  <c r="U44" i="2"/>
  <c r="W9" i="2"/>
  <c r="V28" i="2"/>
  <c r="V31" i="2"/>
  <c r="V24" i="2"/>
  <c r="V26" i="2"/>
  <c r="V58" i="2"/>
  <c r="V20" i="2"/>
  <c r="V14" i="2"/>
  <c r="V41" i="2"/>
  <c r="V22" i="2"/>
  <c r="V12" i="2"/>
  <c r="V16" i="2"/>
  <c r="U47" i="2"/>
  <c r="J62" i="2"/>
  <c r="K62" i="2" s="1"/>
  <c r="L62" i="2" s="1"/>
  <c r="M62" i="2" s="1"/>
  <c r="N62" i="2" s="1"/>
  <c r="O62" i="2" s="1"/>
  <c r="P62" i="2" s="1"/>
  <c r="Q62" i="2" s="1"/>
  <c r="R62" i="2" s="1"/>
  <c r="U45" i="2"/>
  <c r="AR59" i="2"/>
  <c r="U50" i="2"/>
  <c r="U46" i="2"/>
  <c r="S62" i="2" l="1"/>
  <c r="T62" i="2" s="1"/>
  <c r="T61" i="2"/>
  <c r="T53" i="2"/>
  <c r="V42" i="2"/>
  <c r="V44" i="2"/>
  <c r="W26" i="2"/>
  <c r="X9" i="2"/>
  <c r="W12" i="2"/>
  <c r="W58" i="2"/>
  <c r="W14" i="2"/>
  <c r="W31" i="2"/>
  <c r="W22" i="2"/>
  <c r="W28" i="2"/>
  <c r="W16" i="2"/>
  <c r="W24" i="2"/>
  <c r="W41" i="2"/>
  <c r="W20" i="2"/>
  <c r="V48" i="2"/>
  <c r="BD59" i="2"/>
  <c r="BP59" i="2" s="1"/>
  <c r="CB59" i="2" s="1"/>
  <c r="CN59" i="2" s="1"/>
  <c r="CZ59" i="2" s="1"/>
  <c r="V50" i="2"/>
  <c r="V47" i="2"/>
  <c r="U51" i="2"/>
  <c r="U53" i="2" s="1"/>
  <c r="V46" i="2"/>
  <c r="V45" i="2"/>
  <c r="V43" i="2"/>
  <c r="V49" i="2"/>
  <c r="AR60" i="2"/>
  <c r="AS60" i="2" s="1"/>
  <c r="AT60" i="2" s="1"/>
  <c r="AU60" i="2" s="1"/>
  <c r="AV60" i="2" s="1"/>
  <c r="AW60" i="2" s="1"/>
  <c r="AX60" i="2" s="1"/>
  <c r="AY60" i="2" s="1"/>
  <c r="AZ60" i="2" s="1"/>
  <c r="BA60" i="2" s="1"/>
  <c r="BB60" i="2" s="1"/>
  <c r="BC60" i="2" s="1"/>
  <c r="V51" i="2" l="1"/>
  <c r="BD60" i="2"/>
  <c r="BE60" i="2" s="1"/>
  <c r="BF60" i="2" s="1"/>
  <c r="BG60" i="2" s="1"/>
  <c r="BH60" i="2" s="1"/>
  <c r="BI60" i="2" s="1"/>
  <c r="BJ60" i="2" s="1"/>
  <c r="BK60" i="2" s="1"/>
  <c r="BL60" i="2" s="1"/>
  <c r="BM60" i="2" s="1"/>
  <c r="BN60" i="2" s="1"/>
  <c r="BO60" i="2" s="1"/>
  <c r="BP60" i="2" s="1"/>
  <c r="BQ60" i="2" s="1"/>
  <c r="BR60" i="2" s="1"/>
  <c r="BS60" i="2" s="1"/>
  <c r="BT60" i="2" s="1"/>
  <c r="BU60" i="2" s="1"/>
  <c r="BV60" i="2" s="1"/>
  <c r="BW60" i="2" s="1"/>
  <c r="BX60" i="2" s="1"/>
  <c r="BY60" i="2" s="1"/>
  <c r="BZ60" i="2" s="1"/>
  <c r="CA60" i="2" s="1"/>
  <c r="CB60" i="2" s="1"/>
  <c r="CC60" i="2" s="1"/>
  <c r="CD60" i="2" s="1"/>
  <c r="CE60" i="2" s="1"/>
  <c r="CF60" i="2" s="1"/>
  <c r="CG60" i="2" s="1"/>
  <c r="CH60" i="2" s="1"/>
  <c r="CI60" i="2" s="1"/>
  <c r="CJ60" i="2" s="1"/>
  <c r="CK60" i="2" s="1"/>
  <c r="CL60" i="2" s="1"/>
  <c r="CM60" i="2" s="1"/>
  <c r="CN60" i="2" s="1"/>
  <c r="CO60" i="2" s="1"/>
  <c r="CP60" i="2" s="1"/>
  <c r="CQ60" i="2" s="1"/>
  <c r="CR60" i="2" s="1"/>
  <c r="CS60" i="2" s="1"/>
  <c r="CT60" i="2" s="1"/>
  <c r="CU60" i="2" s="1"/>
  <c r="CV60" i="2" s="1"/>
  <c r="CW60" i="2" s="1"/>
  <c r="CX60" i="2" s="1"/>
  <c r="CY60" i="2" s="1"/>
  <c r="CZ60" i="2" s="1"/>
  <c r="W42" i="2"/>
  <c r="W46" i="2"/>
  <c r="W49" i="2"/>
  <c r="W44" i="2"/>
  <c r="X28" i="2"/>
  <c r="X14" i="2"/>
  <c r="X22" i="2"/>
  <c r="X26" i="2"/>
  <c r="X41" i="2"/>
  <c r="X24" i="2"/>
  <c r="Y9" i="2"/>
  <c r="X16" i="2"/>
  <c r="X31" i="2"/>
  <c r="X12" i="2"/>
  <c r="X20" i="2"/>
  <c r="X58" i="2"/>
  <c r="W48" i="2"/>
  <c r="W45" i="2"/>
  <c r="U61" i="2"/>
  <c r="U62" i="2" s="1"/>
  <c r="U18" i="2"/>
  <c r="W43" i="2"/>
  <c r="W50" i="2"/>
  <c r="W47" i="2"/>
  <c r="V61" i="2" l="1"/>
  <c r="V62" i="2" s="1"/>
  <c r="V18" i="2"/>
  <c r="V53" i="2"/>
  <c r="X42" i="2"/>
  <c r="X46" i="2"/>
  <c r="X43" i="2"/>
  <c r="Z9" i="2"/>
  <c r="Y14" i="2"/>
  <c r="Y58" i="2"/>
  <c r="Y24" i="2"/>
  <c r="Y28" i="2"/>
  <c r="Y12" i="2"/>
  <c r="Y41" i="2"/>
  <c r="Y22" i="2"/>
  <c r="Y26" i="2"/>
  <c r="Y31" i="2"/>
  <c r="Y16" i="2"/>
  <c r="Y20" i="2"/>
  <c r="X49" i="2"/>
  <c r="X45" i="2"/>
  <c r="X47" i="2"/>
  <c r="X44" i="2"/>
  <c r="X50" i="2"/>
  <c r="X48" i="2"/>
  <c r="W51" i="2"/>
  <c r="W53" i="2" l="1"/>
  <c r="X51" i="2"/>
  <c r="X18" i="2" s="1"/>
  <c r="Y42" i="2"/>
  <c r="Y47" i="2"/>
  <c r="Y48" i="2"/>
  <c r="Y44" i="2"/>
  <c r="Y43" i="2"/>
  <c r="Z26" i="2"/>
  <c r="Z31" i="2"/>
  <c r="Z16" i="2"/>
  <c r="Z58" i="2"/>
  <c r="Z14" i="2"/>
  <c r="Z41" i="2"/>
  <c r="Z24" i="2"/>
  <c r="Z28" i="2"/>
  <c r="Z12" i="2"/>
  <c r="AA9" i="2"/>
  <c r="Z20" i="2"/>
  <c r="Z22" i="2"/>
  <c r="W61" i="2"/>
  <c r="W62" i="2" s="1"/>
  <c r="W18" i="2"/>
  <c r="Y50" i="2"/>
  <c r="Y46" i="2"/>
  <c r="Y49" i="2"/>
  <c r="Y45" i="2"/>
  <c r="X53" i="2" l="1"/>
  <c r="X61" i="2"/>
  <c r="X62" i="2" s="1"/>
  <c r="Y51" i="2"/>
  <c r="Z42" i="2"/>
  <c r="Z45" i="2"/>
  <c r="Z46" i="2"/>
  <c r="Z48" i="2"/>
  <c r="Z47" i="2"/>
  <c r="Z50" i="2"/>
  <c r="Z44" i="2"/>
  <c r="Z43" i="2"/>
  <c r="AB9" i="2"/>
  <c r="AA28" i="2"/>
  <c r="AA12" i="2"/>
  <c r="AA41" i="2"/>
  <c r="AA26" i="2"/>
  <c r="AA14" i="2"/>
  <c r="AA58" i="2"/>
  <c r="AA16" i="2"/>
  <c r="AA31" i="2"/>
  <c r="AA50" i="2"/>
  <c r="AA22" i="2"/>
  <c r="AA24" i="2"/>
  <c r="AA20" i="2"/>
  <c r="AA49" i="2"/>
  <c r="Z49" i="2"/>
  <c r="Z51" i="2" l="1"/>
  <c r="Y61" i="2"/>
  <c r="Y62" i="2" s="1"/>
  <c r="Y18" i="2"/>
  <c r="Y53" i="2"/>
  <c r="AA42" i="2"/>
  <c r="AA47" i="2"/>
  <c r="AA45" i="2"/>
  <c r="AA43" i="2"/>
  <c r="AA44" i="2"/>
  <c r="AA46" i="2"/>
  <c r="AB22" i="2"/>
  <c r="AC9" i="2"/>
  <c r="AB28" i="2"/>
  <c r="AB12" i="2"/>
  <c r="AB41" i="2"/>
  <c r="AB49" i="2" s="1"/>
  <c r="AB24" i="2"/>
  <c r="AB31" i="2"/>
  <c r="AB14" i="2"/>
  <c r="AB20" i="2"/>
  <c r="AB16" i="2"/>
  <c r="AB26" i="2"/>
  <c r="AB58" i="2"/>
  <c r="AA48" i="2"/>
  <c r="Z53" i="2" l="1"/>
  <c r="AA51" i="2"/>
  <c r="Z61" i="2"/>
  <c r="Z62" i="2" s="1"/>
  <c r="Z18" i="2"/>
  <c r="AB42" i="2"/>
  <c r="AB43" i="2"/>
  <c r="AB44" i="2"/>
  <c r="AB48" i="2"/>
  <c r="AB47" i="2"/>
  <c r="AB46" i="2"/>
  <c r="AD9" i="2"/>
  <c r="AC24" i="2"/>
  <c r="AC20" i="2"/>
  <c r="AC16" i="2"/>
  <c r="AC41" i="2"/>
  <c r="AC42" i="2" s="1"/>
  <c r="AC28" i="2"/>
  <c r="AC12" i="2"/>
  <c r="AC22" i="2"/>
  <c r="AC14" i="2"/>
  <c r="AC31" i="2"/>
  <c r="AC26" i="2"/>
  <c r="AC58" i="2"/>
  <c r="AC43" i="2"/>
  <c r="AB50" i="2"/>
  <c r="AB45" i="2"/>
  <c r="AC46" i="2" l="1"/>
  <c r="AC50" i="2"/>
  <c r="AC45" i="2"/>
  <c r="AC49" i="2"/>
  <c r="AC44" i="2"/>
  <c r="AC48" i="2"/>
  <c r="AA53" i="2"/>
  <c r="AB51" i="2"/>
  <c r="AB18" i="2" s="1"/>
  <c r="AA61" i="2"/>
  <c r="AA62" i="2" s="1"/>
  <c r="AA18" i="2"/>
  <c r="AE9" i="2"/>
  <c r="AD28" i="2"/>
  <c r="AD12" i="2"/>
  <c r="AD41" i="2"/>
  <c r="AD44" i="2" s="1"/>
  <c r="AD16" i="2"/>
  <c r="AD24" i="2"/>
  <c r="AD31" i="2"/>
  <c r="AD20" i="2"/>
  <c r="AD14" i="2"/>
  <c r="AD22" i="2"/>
  <c r="AD58" i="2"/>
  <c r="AD26" i="2"/>
  <c r="AC47" i="2"/>
  <c r="AB53" i="2" l="1"/>
  <c r="AB61" i="2"/>
  <c r="AB62" i="2" s="1"/>
  <c r="AC51" i="2"/>
  <c r="AC53" i="2" s="1"/>
  <c r="AD43" i="2"/>
  <c r="AD42" i="2"/>
  <c r="AD49" i="2"/>
  <c r="AC18" i="2"/>
  <c r="AE28" i="2"/>
  <c r="AE12" i="2"/>
  <c r="AE31" i="2"/>
  <c r="AE22" i="2"/>
  <c r="AE14" i="2"/>
  <c r="AE58" i="2"/>
  <c r="AE18" i="2"/>
  <c r="AE24" i="2"/>
  <c r="AF9" i="2"/>
  <c r="AE26" i="2"/>
  <c r="AE16" i="2"/>
  <c r="AE41" i="2"/>
  <c r="AE42" i="2" s="1"/>
  <c r="AD48" i="2"/>
  <c r="AD46" i="2"/>
  <c r="AD45" i="2"/>
  <c r="AD50" i="2"/>
  <c r="AD47" i="2"/>
  <c r="AC61" i="2" l="1"/>
  <c r="AC62" i="2" s="1"/>
  <c r="AE45" i="2"/>
  <c r="AE44" i="2"/>
  <c r="AE49" i="2"/>
  <c r="AE48" i="2"/>
  <c r="AD51" i="2"/>
  <c r="AD61" i="2" s="1"/>
  <c r="AE43" i="2"/>
  <c r="AG9" i="2"/>
  <c r="AF26" i="2"/>
  <c r="AF16" i="2"/>
  <c r="AF58" i="2"/>
  <c r="AF22" i="2"/>
  <c r="AF12" i="2"/>
  <c r="AF28" i="2"/>
  <c r="AF24" i="2"/>
  <c r="AF41" i="2"/>
  <c r="AF42" i="2" s="1"/>
  <c r="AF14" i="2"/>
  <c r="AF18" i="2"/>
  <c r="AF31" i="2"/>
  <c r="AF43" i="2"/>
  <c r="AE47" i="2"/>
  <c r="AE50" i="2"/>
  <c r="AE46" i="2"/>
  <c r="AD62" i="2" l="1"/>
  <c r="AD18" i="2"/>
  <c r="AD53" i="2"/>
  <c r="AE51" i="2"/>
  <c r="AE61" i="2" s="1"/>
  <c r="AF46" i="2"/>
  <c r="AF50" i="2"/>
  <c r="AH9" i="2"/>
  <c r="AG28" i="2"/>
  <c r="AG18" i="2"/>
  <c r="AG24" i="2"/>
  <c r="AG14" i="2"/>
  <c r="AG41" i="2"/>
  <c r="AG47" i="2" s="1"/>
  <c r="AG22" i="2"/>
  <c r="AG16" i="2"/>
  <c r="AG58" i="2"/>
  <c r="AG26" i="2"/>
  <c r="AG12" i="2"/>
  <c r="AG31" i="2"/>
  <c r="AF45" i="2"/>
  <c r="AF48" i="2"/>
  <c r="AF47" i="2"/>
  <c r="AF44" i="2"/>
  <c r="AF49" i="2"/>
  <c r="AE62" i="2" l="1"/>
  <c r="AG44" i="2"/>
  <c r="AE20" i="2"/>
  <c r="AE53" i="2"/>
  <c r="AF51" i="2"/>
  <c r="AG42" i="2"/>
  <c r="AG43" i="2"/>
  <c r="AG50" i="2"/>
  <c r="AG46" i="2"/>
  <c r="AG49" i="2"/>
  <c r="AG45" i="2"/>
  <c r="AI9" i="2"/>
  <c r="AH18" i="2"/>
  <c r="AH24" i="2"/>
  <c r="AH28" i="2"/>
  <c r="AH12" i="2"/>
  <c r="AH58" i="2"/>
  <c r="AH16" i="2"/>
  <c r="AH41" i="2"/>
  <c r="AH46" i="2" s="1"/>
  <c r="AH26" i="2"/>
  <c r="AH31" i="2"/>
  <c r="AH22" i="2"/>
  <c r="AH14" i="2"/>
  <c r="AG48" i="2"/>
  <c r="AH44" i="2" l="1"/>
  <c r="AH49" i="2"/>
  <c r="AH50" i="2"/>
  <c r="AG51" i="2"/>
  <c r="AG61" i="2" s="1"/>
  <c r="AS61" i="2" s="1"/>
  <c r="BE61" i="2" s="1"/>
  <c r="BQ61" i="2" s="1"/>
  <c r="CC61" i="2" s="1"/>
  <c r="CO61" i="2" s="1"/>
  <c r="AF53" i="2"/>
  <c r="AF61" i="2"/>
  <c r="AF62" i="2" s="1"/>
  <c r="AF20" i="2"/>
  <c r="AH42" i="2"/>
  <c r="AH43" i="2"/>
  <c r="AH45" i="2"/>
  <c r="AJ9" i="2"/>
  <c r="AI16" i="2"/>
  <c r="AI41" i="2"/>
  <c r="AI24" i="2"/>
  <c r="AI26" i="2"/>
  <c r="AI31" i="2"/>
  <c r="AI22" i="2"/>
  <c r="AI12" i="2"/>
  <c r="AI18" i="2"/>
  <c r="AI58" i="2"/>
  <c r="AI28" i="2"/>
  <c r="AI14" i="2"/>
  <c r="AH47" i="2"/>
  <c r="AH48" i="2"/>
  <c r="AH51" i="2" l="1"/>
  <c r="AH20" i="2" s="1"/>
  <c r="AG20" i="2"/>
  <c r="AG53" i="2"/>
  <c r="AI42" i="2"/>
  <c r="AI50" i="2"/>
  <c r="AI44" i="2"/>
  <c r="AI43" i="2"/>
  <c r="AI46" i="2"/>
  <c r="AH61" i="2"/>
  <c r="AT61" i="2" s="1"/>
  <c r="BF61" i="2" s="1"/>
  <c r="BR61" i="2" s="1"/>
  <c r="CD61" i="2" s="1"/>
  <c r="CP61" i="2" s="1"/>
  <c r="AK9" i="2"/>
  <c r="AJ26" i="2"/>
  <c r="AJ14" i="2"/>
  <c r="AJ18" i="2"/>
  <c r="AJ58" i="2"/>
  <c r="AJ22" i="2"/>
  <c r="AJ12" i="2"/>
  <c r="AJ31" i="2"/>
  <c r="AJ41" i="2"/>
  <c r="AJ43" i="2" s="1"/>
  <c r="AJ16" i="2"/>
  <c r="AJ28" i="2"/>
  <c r="AJ24" i="2"/>
  <c r="AJ44" i="2"/>
  <c r="AI48" i="2"/>
  <c r="AI45" i="2"/>
  <c r="AI49" i="2"/>
  <c r="AG62" i="2"/>
  <c r="AI47" i="2"/>
  <c r="AH53" i="2" l="1"/>
  <c r="AJ47" i="2"/>
  <c r="AI51" i="2"/>
  <c r="AI61" i="2" s="1"/>
  <c r="AU61" i="2" s="1"/>
  <c r="BG61" i="2" s="1"/>
  <c r="BS61" i="2" s="1"/>
  <c r="CE61" i="2" s="1"/>
  <c r="CQ61" i="2" s="1"/>
  <c r="AH62" i="2"/>
  <c r="AJ42" i="2"/>
  <c r="AJ46" i="2"/>
  <c r="AJ49" i="2"/>
  <c r="AJ45" i="2"/>
  <c r="AL9" i="2"/>
  <c r="AK18" i="2"/>
  <c r="AK58" i="2"/>
  <c r="AK16" i="2"/>
  <c r="AK41" i="2"/>
  <c r="AK42" i="2" s="1"/>
  <c r="AK22" i="2"/>
  <c r="AK14" i="2"/>
  <c r="AK31" i="2"/>
  <c r="AK28" i="2"/>
  <c r="AK26" i="2"/>
  <c r="AK24" i="2"/>
  <c r="AK12" i="2"/>
  <c r="AK44" i="2"/>
  <c r="AJ48" i="2"/>
  <c r="AJ50" i="2"/>
  <c r="AI53" i="2" l="1"/>
  <c r="AI20" i="2"/>
  <c r="AK48" i="2"/>
  <c r="AI62" i="2"/>
  <c r="AJ51" i="2"/>
  <c r="AJ20" i="2" s="1"/>
  <c r="AK43" i="2"/>
  <c r="AM9" i="2"/>
  <c r="AL16" i="2"/>
  <c r="AL31" i="2"/>
  <c r="AL24" i="2"/>
  <c r="AL26" i="2"/>
  <c r="AL18" i="2"/>
  <c r="AL58" i="2"/>
  <c r="AL12" i="2"/>
  <c r="AL14" i="2"/>
  <c r="AL41" i="2"/>
  <c r="AL28" i="2"/>
  <c r="AL22" i="2"/>
  <c r="AK47" i="2"/>
  <c r="AK50" i="2"/>
  <c r="AK46" i="2"/>
  <c r="AK49" i="2"/>
  <c r="AK45" i="2"/>
  <c r="AJ61" i="2" l="1"/>
  <c r="AV61" i="2" s="1"/>
  <c r="BH61" i="2" s="1"/>
  <c r="BT61" i="2" s="1"/>
  <c r="CF61" i="2" s="1"/>
  <c r="CR61" i="2" s="1"/>
  <c r="AJ53" i="2"/>
  <c r="AK51" i="2"/>
  <c r="AK61" i="2" s="1"/>
  <c r="AW61" i="2" s="1"/>
  <c r="BI61" i="2" s="1"/>
  <c r="BU61" i="2" s="1"/>
  <c r="CG61" i="2" s="1"/>
  <c r="CS61" i="2" s="1"/>
  <c r="AJ62" i="2"/>
  <c r="AL42" i="2"/>
  <c r="AL44" i="2"/>
  <c r="AL43" i="2"/>
  <c r="AN9" i="2"/>
  <c r="AM28" i="2"/>
  <c r="AM12" i="2"/>
  <c r="AM41" i="2"/>
  <c r="AM42" i="2" s="1"/>
  <c r="AM22" i="2"/>
  <c r="AM24" i="2"/>
  <c r="AM26" i="2"/>
  <c r="AM18" i="2"/>
  <c r="AM31" i="2"/>
  <c r="AM14" i="2"/>
  <c r="AM58" i="2"/>
  <c r="AM16" i="2"/>
  <c r="AM43" i="2"/>
  <c r="AM44" i="2"/>
  <c r="AL48" i="2"/>
  <c r="AL49" i="2"/>
  <c r="AL50" i="2"/>
  <c r="AL47" i="2"/>
  <c r="AL46" i="2"/>
  <c r="AL45" i="2"/>
  <c r="AM48" i="2" l="1"/>
  <c r="AM47" i="2"/>
  <c r="AK62" i="2"/>
  <c r="AL51" i="2"/>
  <c r="AK20" i="2"/>
  <c r="AK53" i="2"/>
  <c r="AO9" i="2"/>
  <c r="AN26" i="2"/>
  <c r="AN14" i="2"/>
  <c r="AN58" i="2"/>
  <c r="AN22" i="2"/>
  <c r="AN24" i="2"/>
  <c r="AN28" i="2"/>
  <c r="AN18" i="2"/>
  <c r="AN41" i="2"/>
  <c r="AN42" i="2" s="1"/>
  <c r="AN12" i="2"/>
  <c r="AN31" i="2"/>
  <c r="AN16" i="2"/>
  <c r="AN43" i="2"/>
  <c r="AN44" i="2"/>
  <c r="AM50" i="2"/>
  <c r="AM46" i="2"/>
  <c r="AM49" i="2"/>
  <c r="AM45" i="2"/>
  <c r="AL53" i="2" l="1"/>
  <c r="AM51" i="2"/>
  <c r="AM61" i="2" s="1"/>
  <c r="AY61" i="2" s="1"/>
  <c r="BK61" i="2" s="1"/>
  <c r="BW61" i="2" s="1"/>
  <c r="CI61" i="2" s="1"/>
  <c r="CU61" i="2" s="1"/>
  <c r="AL20" i="2"/>
  <c r="AL61" i="2"/>
  <c r="AN50" i="2"/>
  <c r="AN47" i="2"/>
  <c r="AN49" i="2"/>
  <c r="AN45" i="2"/>
  <c r="AN48" i="2"/>
  <c r="AP9" i="2"/>
  <c r="AO16" i="2"/>
  <c r="AO22" i="2"/>
  <c r="AO28" i="2"/>
  <c r="AO12" i="2"/>
  <c r="AO26" i="2"/>
  <c r="AO58" i="2"/>
  <c r="AO14" i="2"/>
  <c r="AO41" i="2"/>
  <c r="AO24" i="2"/>
  <c r="AO31" i="2"/>
  <c r="AO18" i="2"/>
  <c r="AN46" i="2"/>
  <c r="AN51" i="2" l="1"/>
  <c r="AM20" i="2"/>
  <c r="AM53" i="2"/>
  <c r="AN53" i="2" s="1"/>
  <c r="AL62" i="2"/>
  <c r="AM62" i="2" s="1"/>
  <c r="AX61" i="2"/>
  <c r="BJ61" i="2" s="1"/>
  <c r="BV61" i="2" s="1"/>
  <c r="CH61" i="2" s="1"/>
  <c r="CT61" i="2" s="1"/>
  <c r="AO42" i="2"/>
  <c r="AO43" i="2"/>
  <c r="AO44" i="2"/>
  <c r="AO50" i="2"/>
  <c r="AO46" i="2"/>
  <c r="AO49" i="2"/>
  <c r="AO45" i="2"/>
  <c r="AO48" i="2"/>
  <c r="AQ9" i="2"/>
  <c r="AP18" i="2"/>
  <c r="AP22" i="2"/>
  <c r="AP28" i="2"/>
  <c r="AP14" i="2"/>
  <c r="AP31" i="2"/>
  <c r="AP26" i="2"/>
  <c r="AP12" i="2"/>
  <c r="AP16" i="2"/>
  <c r="AP58" i="2"/>
  <c r="AP24" i="2"/>
  <c r="AP41" i="2"/>
  <c r="AP42" i="2" s="1"/>
  <c r="AP44" i="2"/>
  <c r="AO47" i="2"/>
  <c r="AP43" i="2" l="1"/>
  <c r="AO51" i="2"/>
  <c r="AO20" i="2" s="1"/>
  <c r="AN61" i="2"/>
  <c r="AN20" i="2"/>
  <c r="AP50" i="2"/>
  <c r="AP46" i="2"/>
  <c r="AP47" i="2"/>
  <c r="AP45" i="2"/>
  <c r="AP49" i="2"/>
  <c r="AR9" i="2"/>
  <c r="AQ18" i="2"/>
  <c r="AQ16" i="2"/>
  <c r="AQ31" i="2"/>
  <c r="AQ28" i="2"/>
  <c r="AQ12" i="2"/>
  <c r="AQ41" i="2"/>
  <c r="AQ42" i="2" s="1"/>
  <c r="AQ22" i="2"/>
  <c r="AQ24" i="2"/>
  <c r="AQ14" i="2"/>
  <c r="AQ58" i="2"/>
  <c r="AQ26" i="2"/>
  <c r="AP48" i="2"/>
  <c r="AO53" i="2" l="1"/>
  <c r="AQ44" i="2"/>
  <c r="AQ43" i="2"/>
  <c r="AO61" i="2"/>
  <c r="BA61" i="2" s="1"/>
  <c r="BM61" i="2" s="1"/>
  <c r="BY61" i="2" s="1"/>
  <c r="CK61" i="2" s="1"/>
  <c r="CW61" i="2" s="1"/>
  <c r="AN62" i="2"/>
  <c r="AZ61" i="2"/>
  <c r="BL61" i="2" s="1"/>
  <c r="BX61" i="2" s="1"/>
  <c r="CJ61" i="2" s="1"/>
  <c r="CV61" i="2" s="1"/>
  <c r="AP51" i="2"/>
  <c r="AQ50" i="2"/>
  <c r="AQ47" i="2"/>
  <c r="AQ49" i="2"/>
  <c r="AQ46" i="2"/>
  <c r="AS9" i="2"/>
  <c r="AR22" i="2"/>
  <c r="AR14" i="2"/>
  <c r="AR26" i="2"/>
  <c r="AR58" i="2"/>
  <c r="AR18" i="2"/>
  <c r="AR41" i="2"/>
  <c r="AR42" i="2" s="1"/>
  <c r="AR28" i="2"/>
  <c r="AR24" i="2"/>
  <c r="AR16" i="2"/>
  <c r="AR31" i="2"/>
  <c r="AR12" i="2"/>
  <c r="AR43" i="2"/>
  <c r="AQ45" i="2"/>
  <c r="AQ48" i="2"/>
  <c r="AQ51" i="2" l="1"/>
  <c r="AQ61" i="2" s="1"/>
  <c r="BC61" i="2" s="1"/>
  <c r="BO61" i="2" s="1"/>
  <c r="CA61" i="2" s="1"/>
  <c r="CM61" i="2" s="1"/>
  <c r="CY61" i="2" s="1"/>
  <c r="AR44" i="2"/>
  <c r="AO62" i="2"/>
  <c r="AR49" i="2"/>
  <c r="AP20" i="2"/>
  <c r="AP53" i="2"/>
  <c r="AP61" i="2"/>
  <c r="AQ20" i="2"/>
  <c r="AT9" i="2"/>
  <c r="AS16" i="2"/>
  <c r="AS58" i="2"/>
  <c r="AS28" i="2"/>
  <c r="AS12" i="2"/>
  <c r="AS22" i="2"/>
  <c r="AS26" i="2"/>
  <c r="AS31" i="2"/>
  <c r="AS24" i="2"/>
  <c r="AS18" i="2"/>
  <c r="AS14" i="2"/>
  <c r="AS41" i="2"/>
  <c r="AS44" i="2"/>
  <c r="AR47" i="2"/>
  <c r="AR48" i="2"/>
  <c r="AR46" i="2"/>
  <c r="AR50" i="2"/>
  <c r="AR45" i="2"/>
  <c r="AQ53" i="2" l="1"/>
  <c r="AP62" i="2"/>
  <c r="AQ62" i="2" s="1"/>
  <c r="BB61" i="2"/>
  <c r="BN61" i="2" s="1"/>
  <c r="BZ61" i="2" s="1"/>
  <c r="CL61" i="2" s="1"/>
  <c r="CX61" i="2" s="1"/>
  <c r="AR51" i="2"/>
  <c r="AR61" i="2" s="1"/>
  <c r="BD61" i="2" s="1"/>
  <c r="BP61" i="2" s="1"/>
  <c r="CB61" i="2" s="1"/>
  <c r="CN61" i="2" s="1"/>
  <c r="CZ61" i="2" s="1"/>
  <c r="AS42" i="2"/>
  <c r="D42" i="2" s="1"/>
  <c r="AS45" i="2"/>
  <c r="AS49" i="2"/>
  <c r="AS43" i="2"/>
  <c r="AS48" i="2"/>
  <c r="AU9" i="2"/>
  <c r="AT28" i="2"/>
  <c r="AT16" i="2"/>
  <c r="AT31" i="2"/>
  <c r="AT26" i="2"/>
  <c r="AT12" i="2"/>
  <c r="AT58" i="2"/>
  <c r="AT24" i="2"/>
  <c r="AT20" i="2"/>
  <c r="AT18" i="2"/>
  <c r="AT14" i="2"/>
  <c r="AT41" i="2"/>
  <c r="AT44" i="2" s="1"/>
  <c r="AS47" i="2"/>
  <c r="AS50" i="2"/>
  <c r="AS46" i="2"/>
  <c r="AT43" i="2" l="1"/>
  <c r="AR53" i="2"/>
  <c r="AR20" i="2"/>
  <c r="AR62" i="2"/>
  <c r="AS62" i="2" s="1"/>
  <c r="AT62" i="2" s="1"/>
  <c r="AU62" i="2" s="1"/>
  <c r="AV62" i="2" s="1"/>
  <c r="AW62" i="2" s="1"/>
  <c r="AX62" i="2" s="1"/>
  <c r="AY62" i="2" s="1"/>
  <c r="AZ62" i="2" s="1"/>
  <c r="BA62" i="2" s="1"/>
  <c r="BB62" i="2" s="1"/>
  <c r="BC62" i="2" s="1"/>
  <c r="BD62" i="2" s="1"/>
  <c r="BE62" i="2" s="1"/>
  <c r="BF62" i="2" s="1"/>
  <c r="BG62" i="2" s="1"/>
  <c r="BH62" i="2" s="1"/>
  <c r="BI62" i="2" s="1"/>
  <c r="BJ62" i="2" s="1"/>
  <c r="BK62" i="2" s="1"/>
  <c r="BL62" i="2" s="1"/>
  <c r="BM62" i="2" s="1"/>
  <c r="BN62" i="2" s="1"/>
  <c r="BO62" i="2" s="1"/>
  <c r="BP62" i="2" s="1"/>
  <c r="BQ62" i="2" s="1"/>
  <c r="BR62" i="2" s="1"/>
  <c r="BS62" i="2" s="1"/>
  <c r="BT62" i="2" s="1"/>
  <c r="BU62" i="2" s="1"/>
  <c r="BV62" i="2" s="1"/>
  <c r="BW62" i="2" s="1"/>
  <c r="BX62" i="2" s="1"/>
  <c r="BY62" i="2" s="1"/>
  <c r="BZ62" i="2" s="1"/>
  <c r="CA62" i="2" s="1"/>
  <c r="CB62" i="2" s="1"/>
  <c r="CC62" i="2" s="1"/>
  <c r="CD62" i="2" s="1"/>
  <c r="CE62" i="2" s="1"/>
  <c r="CF62" i="2" s="1"/>
  <c r="CG62" i="2" s="1"/>
  <c r="CH62" i="2" s="1"/>
  <c r="CI62" i="2" s="1"/>
  <c r="CJ62" i="2" s="1"/>
  <c r="CK62" i="2" s="1"/>
  <c r="CL62" i="2" s="1"/>
  <c r="CM62" i="2" s="1"/>
  <c r="CN62" i="2" s="1"/>
  <c r="CO62" i="2" s="1"/>
  <c r="CP62" i="2" s="1"/>
  <c r="CQ62" i="2" s="1"/>
  <c r="CR62" i="2" s="1"/>
  <c r="CS62" i="2" s="1"/>
  <c r="CT62" i="2" s="1"/>
  <c r="CU62" i="2" s="1"/>
  <c r="CV62" i="2" s="1"/>
  <c r="CW62" i="2" s="1"/>
  <c r="CX62" i="2" s="1"/>
  <c r="CY62" i="2" s="1"/>
  <c r="CZ62" i="2" s="1"/>
  <c r="AS51" i="2"/>
  <c r="AT47" i="2"/>
  <c r="AT48" i="2"/>
  <c r="AT49" i="2"/>
  <c r="AU28" i="2"/>
  <c r="AU16" i="2"/>
  <c r="AU58" i="2"/>
  <c r="AV9" i="2"/>
  <c r="AU20" i="2"/>
  <c r="AU31" i="2"/>
  <c r="AU26" i="2"/>
  <c r="AU12" i="2"/>
  <c r="AU41" i="2"/>
  <c r="AU46" i="2" s="1"/>
  <c r="AU24" i="2"/>
  <c r="AU14" i="2"/>
  <c r="AU18" i="2"/>
  <c r="AU43" i="2"/>
  <c r="AT46" i="2"/>
  <c r="AT45" i="2"/>
  <c r="AT50" i="2"/>
  <c r="AU44" i="2" l="1"/>
  <c r="AT51" i="2"/>
  <c r="AT22" i="2" s="1"/>
  <c r="AS20" i="2"/>
  <c r="AS53" i="2"/>
  <c r="AU49" i="2"/>
  <c r="AU45" i="2"/>
  <c r="AU48" i="2"/>
  <c r="AU47" i="2"/>
  <c r="AW9" i="2"/>
  <c r="AV26" i="2"/>
  <c r="AV20" i="2"/>
  <c r="AV41" i="2"/>
  <c r="AV16" i="2"/>
  <c r="AV31" i="2"/>
  <c r="AV28" i="2"/>
  <c r="AV12" i="2"/>
  <c r="AV58" i="2"/>
  <c r="AV24" i="2"/>
  <c r="AV18" i="2"/>
  <c r="AV14" i="2"/>
  <c r="AU50" i="2"/>
  <c r="AT53" i="2" l="1"/>
  <c r="AU51" i="2"/>
  <c r="AU22" i="2" s="1"/>
  <c r="AV45" i="2"/>
  <c r="AV48" i="2"/>
  <c r="AV49" i="2"/>
  <c r="AV46" i="2"/>
  <c r="AV50" i="2"/>
  <c r="AV44" i="2"/>
  <c r="AV43" i="2"/>
  <c r="AX9" i="2"/>
  <c r="AW26" i="2"/>
  <c r="AW18" i="2"/>
  <c r="AW31" i="2"/>
  <c r="AW16" i="2"/>
  <c r="AW41" i="2"/>
  <c r="AW20" i="2"/>
  <c r="AW58" i="2"/>
  <c r="AW12" i="2"/>
  <c r="AW28" i="2"/>
  <c r="AW14" i="2"/>
  <c r="AW24" i="2"/>
  <c r="AV47" i="2"/>
  <c r="AU53" i="2"/>
  <c r="AV51" i="2" l="1"/>
  <c r="AW49" i="2"/>
  <c r="AW44" i="2"/>
  <c r="AW43" i="2"/>
  <c r="AW47" i="2"/>
  <c r="AW48" i="2"/>
  <c r="AY9" i="2"/>
  <c r="AX24" i="2"/>
  <c r="AX14" i="2"/>
  <c r="AX41" i="2"/>
  <c r="AX20" i="2"/>
  <c r="AX31" i="2"/>
  <c r="AX58" i="2"/>
  <c r="AX18" i="2"/>
  <c r="AX12" i="2"/>
  <c r="AX28" i="2"/>
  <c r="AX16" i="2"/>
  <c r="AX26" i="2"/>
  <c r="AW46" i="2"/>
  <c r="AW50" i="2"/>
  <c r="AW45" i="2"/>
  <c r="AW51" i="2" l="1"/>
  <c r="AW22" i="2" s="1"/>
  <c r="AV22" i="2"/>
  <c r="AV53" i="2"/>
  <c r="AW53" i="2" s="1"/>
  <c r="AX49" i="2"/>
  <c r="AX45" i="2"/>
  <c r="AX44" i="2"/>
  <c r="AX43" i="2"/>
  <c r="AX47" i="2"/>
  <c r="AX48" i="2"/>
  <c r="AX50" i="2"/>
  <c r="AX46" i="2"/>
  <c r="AY46" i="2"/>
  <c r="AZ9" i="2"/>
  <c r="AY18" i="2"/>
  <c r="AY14" i="2"/>
  <c r="AY24" i="2"/>
  <c r="AY58" i="2"/>
  <c r="AY31" i="2"/>
  <c r="AY16" i="2"/>
  <c r="AY12" i="2"/>
  <c r="AY28" i="2"/>
  <c r="AY41" i="2"/>
  <c r="AY47" i="2" s="1"/>
  <c r="AY26" i="2"/>
  <c r="AY20" i="2"/>
  <c r="AY44" i="2" l="1"/>
  <c r="AX51" i="2"/>
  <c r="AX22" i="2" s="1"/>
  <c r="AY48" i="2"/>
  <c r="AY45" i="2"/>
  <c r="AY49" i="2"/>
  <c r="AX53" i="2"/>
  <c r="AZ43" i="2"/>
  <c r="AZ44" i="2"/>
  <c r="AZ45" i="2"/>
  <c r="AZ47" i="2"/>
  <c r="AZ46" i="2"/>
  <c r="AZ50" i="2"/>
  <c r="AZ49" i="2"/>
  <c r="AZ28" i="2"/>
  <c r="AZ20" i="2"/>
  <c r="AZ41" i="2"/>
  <c r="AZ48" i="2"/>
  <c r="AZ18" i="2"/>
  <c r="AZ58" i="2"/>
  <c r="AZ31" i="2"/>
  <c r="BA9" i="2"/>
  <c r="AZ16" i="2"/>
  <c r="AZ12" i="2"/>
  <c r="AZ14" i="2"/>
  <c r="AZ24" i="2"/>
  <c r="AZ26" i="2"/>
  <c r="AZ22" i="2"/>
  <c r="AY43" i="2"/>
  <c r="AY50" i="2"/>
  <c r="AY51" i="2" l="1"/>
  <c r="AY22" i="2" s="1"/>
  <c r="BA44" i="2"/>
  <c r="BA45" i="2"/>
  <c r="BA46" i="2"/>
  <c r="BA43" i="2"/>
  <c r="BA48" i="2"/>
  <c r="BA49" i="2"/>
  <c r="BA47" i="2"/>
  <c r="BA50" i="2"/>
  <c r="BB9" i="2"/>
  <c r="BA16" i="2"/>
  <c r="BA14" i="2"/>
  <c r="BA31" i="2"/>
  <c r="BA20" i="2"/>
  <c r="BA58" i="2"/>
  <c r="BA24" i="2"/>
  <c r="BA22" i="2"/>
  <c r="BA41" i="2"/>
  <c r="BA12" i="2"/>
  <c r="BA28" i="2"/>
  <c r="BA18" i="2"/>
  <c r="BA26" i="2"/>
  <c r="AZ51" i="2"/>
  <c r="BB43" i="2" l="1"/>
  <c r="BB44" i="2"/>
  <c r="BB45" i="2"/>
  <c r="BB48" i="2"/>
  <c r="BB49" i="2"/>
  <c r="BB46" i="2"/>
  <c r="BB47" i="2"/>
  <c r="BB50" i="2"/>
  <c r="BC9" i="2"/>
  <c r="BB28" i="2"/>
  <c r="BB16" i="2"/>
  <c r="BB41" i="2"/>
  <c r="BB22" i="2"/>
  <c r="BB14" i="2"/>
  <c r="BB12" i="2"/>
  <c r="BB26" i="2"/>
  <c r="BB18" i="2"/>
  <c r="BB58" i="2"/>
  <c r="BB24" i="2"/>
  <c r="BB31" i="2"/>
  <c r="BB20" i="2"/>
  <c r="BA51" i="2"/>
  <c r="AY53" i="2"/>
  <c r="AZ53" i="2" s="1"/>
  <c r="BA53" i="2" l="1"/>
  <c r="BC44" i="2"/>
  <c r="BC45" i="2"/>
  <c r="BC46" i="2"/>
  <c r="BC47" i="2"/>
  <c r="BC43" i="2"/>
  <c r="BC48" i="2"/>
  <c r="BC49" i="2"/>
  <c r="BC50" i="2"/>
  <c r="BD9" i="2"/>
  <c r="BC26" i="2"/>
  <c r="BC16" i="2"/>
  <c r="BC58" i="2"/>
  <c r="BC18" i="2"/>
  <c r="BC41" i="2"/>
  <c r="BC28" i="2"/>
  <c r="BC31" i="2"/>
  <c r="BC20" i="2"/>
  <c r="BC22" i="2"/>
  <c r="BC14" i="2"/>
  <c r="BC24" i="2"/>
  <c r="BC12" i="2"/>
  <c r="BB51" i="2"/>
  <c r="BB53" i="2" s="1"/>
  <c r="BD43" i="2" l="1"/>
  <c r="BD44" i="2"/>
  <c r="BD45" i="2"/>
  <c r="BD46" i="2"/>
  <c r="BD47" i="2"/>
  <c r="BD48" i="2"/>
  <c r="BD49" i="2"/>
  <c r="BD50" i="2"/>
  <c r="BE9" i="2"/>
  <c r="BD28" i="2"/>
  <c r="BD18" i="2"/>
  <c r="BD12" i="2"/>
  <c r="BD24" i="2"/>
  <c r="BD14" i="2"/>
  <c r="BD58" i="2"/>
  <c r="BD22" i="2"/>
  <c r="BD26" i="2"/>
  <c r="BD31" i="2"/>
  <c r="BD16" i="2"/>
  <c r="BD20" i="2"/>
  <c r="BD41" i="2"/>
  <c r="BC51" i="2"/>
  <c r="BC53" i="2" s="1"/>
  <c r="BE44" i="2" l="1"/>
  <c r="BE45" i="2"/>
  <c r="BE46" i="2"/>
  <c r="BE43" i="2"/>
  <c r="BE47" i="2"/>
  <c r="BE48" i="2"/>
  <c r="BE49" i="2"/>
  <c r="BE50" i="2"/>
  <c r="BF9" i="2"/>
  <c r="BE28" i="2"/>
  <c r="BE22" i="2"/>
  <c r="BE12" i="2"/>
  <c r="BE26" i="2"/>
  <c r="BE18" i="2"/>
  <c r="BE41" i="2"/>
  <c r="BE14" i="2"/>
  <c r="BE24" i="2"/>
  <c r="BE31" i="2"/>
  <c r="BE58" i="2"/>
  <c r="BE16" i="2"/>
  <c r="BE20" i="2"/>
  <c r="BD51" i="2"/>
  <c r="BD53" i="2" s="1"/>
  <c r="BF43" i="2" l="1"/>
  <c r="BF46" i="2"/>
  <c r="BF44" i="2"/>
  <c r="BF47" i="2"/>
  <c r="BF48" i="2"/>
  <c r="BF49" i="2"/>
  <c r="BF50" i="2"/>
  <c r="BF45" i="2"/>
  <c r="BG9" i="2"/>
  <c r="BF22" i="2"/>
  <c r="BF20" i="2"/>
  <c r="BF12" i="2"/>
  <c r="BF18" i="2"/>
  <c r="BF41" i="2"/>
  <c r="BF28" i="2"/>
  <c r="BF31" i="2"/>
  <c r="BF16" i="2"/>
  <c r="BF58" i="2"/>
  <c r="BF26" i="2"/>
  <c r="BF24" i="2"/>
  <c r="BF14" i="2"/>
  <c r="BE51" i="2"/>
  <c r="BE53" i="2" s="1"/>
  <c r="BG44" i="2" l="1"/>
  <c r="BG45" i="2"/>
  <c r="BG46" i="2"/>
  <c r="BG43" i="2"/>
  <c r="BG48" i="2"/>
  <c r="BG47" i="2"/>
  <c r="BH9" i="2"/>
  <c r="BG49" i="2"/>
  <c r="BG28" i="2"/>
  <c r="BG18" i="2"/>
  <c r="BG12" i="2"/>
  <c r="BG50" i="2"/>
  <c r="BG22" i="2"/>
  <c r="BG31" i="2"/>
  <c r="BG16" i="2"/>
  <c r="BG41" i="2"/>
  <c r="BG14" i="2"/>
  <c r="BG26" i="2"/>
  <c r="BG58" i="2"/>
  <c r="BG20" i="2"/>
  <c r="BG24" i="2"/>
  <c r="BF51" i="2"/>
  <c r="BF53" i="2" s="1"/>
  <c r="BH43" i="2" l="1"/>
  <c r="BH44" i="2"/>
  <c r="BH46" i="2"/>
  <c r="BH49" i="2"/>
  <c r="BH50" i="2"/>
  <c r="BH48" i="2"/>
  <c r="BH45" i="2"/>
  <c r="BH47" i="2"/>
  <c r="BI9" i="2"/>
  <c r="BH28" i="2"/>
  <c r="BH18" i="2"/>
  <c r="BH12" i="2"/>
  <c r="BH24" i="2"/>
  <c r="BH14" i="2"/>
  <c r="BH22" i="2"/>
  <c r="BH58" i="2"/>
  <c r="BH20" i="2"/>
  <c r="BH41" i="2"/>
  <c r="BH26" i="2"/>
  <c r="BH31" i="2"/>
  <c r="BH16" i="2"/>
  <c r="BG51" i="2"/>
  <c r="BG53" i="2" s="1"/>
  <c r="BI44" i="2" l="1"/>
  <c r="BI45" i="2"/>
  <c r="BI46" i="2"/>
  <c r="BI43" i="2"/>
  <c r="BI47" i="2"/>
  <c r="BI48" i="2"/>
  <c r="BI49" i="2"/>
  <c r="BI50" i="2"/>
  <c r="BJ9" i="2"/>
  <c r="BI28" i="2"/>
  <c r="BI16" i="2"/>
  <c r="BI12" i="2"/>
  <c r="BI26" i="2"/>
  <c r="BI18" i="2"/>
  <c r="BI31" i="2"/>
  <c r="BI24" i="2"/>
  <c r="BI14" i="2"/>
  <c r="BI20" i="2"/>
  <c r="BI41" i="2"/>
  <c r="BI22" i="2"/>
  <c r="BI58" i="2"/>
  <c r="BH51" i="2"/>
  <c r="BH53" i="2" s="1"/>
  <c r="BJ43" i="2" l="1"/>
  <c r="BJ45" i="2"/>
  <c r="BJ47" i="2"/>
  <c r="BJ48" i="2"/>
  <c r="BJ49" i="2"/>
  <c r="BJ50" i="2"/>
  <c r="BJ46" i="2"/>
  <c r="BJ44" i="2"/>
  <c r="BK9" i="2"/>
  <c r="BJ22" i="2"/>
  <c r="BJ20" i="2"/>
  <c r="BJ14" i="2"/>
  <c r="BJ18" i="2"/>
  <c r="BJ41" i="2"/>
  <c r="BJ28" i="2"/>
  <c r="BJ16" i="2"/>
  <c r="BJ31" i="2"/>
  <c r="BJ24" i="2"/>
  <c r="BJ12" i="2"/>
  <c r="BJ26" i="2"/>
  <c r="BJ58" i="2"/>
  <c r="BI51" i="2"/>
  <c r="BI53" i="2" s="1"/>
  <c r="BK44" i="2" l="1"/>
  <c r="BK45" i="2"/>
  <c r="BK46" i="2"/>
  <c r="BK43" i="2"/>
  <c r="BK47" i="2"/>
  <c r="BK48" i="2"/>
  <c r="BK49" i="2"/>
  <c r="BK50" i="2"/>
  <c r="BL9" i="2"/>
  <c r="BK28" i="2"/>
  <c r="BK18" i="2"/>
  <c r="BK14" i="2"/>
  <c r="BK22" i="2"/>
  <c r="BK58" i="2"/>
  <c r="BK16" i="2"/>
  <c r="BK41" i="2"/>
  <c r="BK24" i="2"/>
  <c r="BK12" i="2"/>
  <c r="BK26" i="2"/>
  <c r="BK20" i="2"/>
  <c r="BK31" i="2"/>
  <c r="BJ51" i="2"/>
  <c r="BJ53" i="2" s="1"/>
  <c r="BL43" i="2" l="1"/>
  <c r="BL44" i="2"/>
  <c r="BL45" i="2"/>
  <c r="BL47" i="2"/>
  <c r="BL48" i="2"/>
  <c r="BL49" i="2"/>
  <c r="BL46" i="2"/>
  <c r="BL50" i="2"/>
  <c r="BL28" i="2"/>
  <c r="BL18" i="2"/>
  <c r="BL12" i="2"/>
  <c r="BM9" i="2"/>
  <c r="BL24" i="2"/>
  <c r="BL14" i="2"/>
  <c r="BL58" i="2"/>
  <c r="BL22" i="2"/>
  <c r="BL26" i="2"/>
  <c r="BL31" i="2"/>
  <c r="BL16" i="2"/>
  <c r="BL41" i="2"/>
  <c r="BL20" i="2"/>
  <c r="BK51" i="2"/>
  <c r="BK53" i="2" s="1"/>
  <c r="BL51" i="2" l="1"/>
  <c r="BL53" i="2" s="1"/>
  <c r="BM44" i="2"/>
  <c r="BM45" i="2"/>
  <c r="BM46" i="2"/>
  <c r="BM43" i="2"/>
  <c r="BM47" i="2"/>
  <c r="BM48" i="2"/>
  <c r="BM49" i="2"/>
  <c r="BM50" i="2"/>
  <c r="BN9" i="2"/>
  <c r="BM28" i="2"/>
  <c r="BM16" i="2"/>
  <c r="BM12" i="2"/>
  <c r="BM26" i="2"/>
  <c r="BM18" i="2"/>
  <c r="BM41" i="2"/>
  <c r="BM24" i="2"/>
  <c r="BM14" i="2"/>
  <c r="BM31" i="2"/>
  <c r="BM58" i="2"/>
  <c r="BM22" i="2"/>
  <c r="BM20" i="2"/>
  <c r="BN43" i="2" l="1"/>
  <c r="BN44" i="2"/>
  <c r="BN46" i="2"/>
  <c r="BN47" i="2"/>
  <c r="BN48" i="2"/>
  <c r="BN49" i="2"/>
  <c r="BN45" i="2"/>
  <c r="BN50" i="2"/>
  <c r="BO9" i="2"/>
  <c r="BN22" i="2"/>
  <c r="BN20" i="2"/>
  <c r="BN12" i="2"/>
  <c r="BN18" i="2"/>
  <c r="BN31" i="2"/>
  <c r="BN28" i="2"/>
  <c r="BN41" i="2"/>
  <c r="BN16" i="2"/>
  <c r="BN58" i="2"/>
  <c r="BN26" i="2"/>
  <c r="BN24" i="2"/>
  <c r="BN14" i="2"/>
  <c r="BM51" i="2"/>
  <c r="BM53" i="2" s="1"/>
  <c r="BO44" i="2" l="1"/>
  <c r="BO45" i="2"/>
  <c r="BO46" i="2"/>
  <c r="BO43" i="2"/>
  <c r="BO49" i="2"/>
  <c r="BO48" i="2"/>
  <c r="BP9" i="2"/>
  <c r="BO47" i="2"/>
  <c r="BO28" i="2"/>
  <c r="BO22" i="2"/>
  <c r="BO12" i="2"/>
  <c r="BO31" i="2"/>
  <c r="BO18" i="2"/>
  <c r="BO14" i="2"/>
  <c r="BO20" i="2"/>
  <c r="BO58" i="2"/>
  <c r="BO50" i="2"/>
  <c r="BO41" i="2"/>
  <c r="BO16" i="2"/>
  <c r="BO26" i="2"/>
  <c r="BO24" i="2"/>
  <c r="BN51" i="2"/>
  <c r="BN53" i="2" s="1"/>
  <c r="BP43" i="2" l="1"/>
  <c r="BP44" i="2"/>
  <c r="BP46" i="2"/>
  <c r="BP45" i="2"/>
  <c r="BP47" i="2"/>
  <c r="BP50" i="2"/>
  <c r="BP49" i="2"/>
  <c r="BP22" i="2"/>
  <c r="BP14" i="2"/>
  <c r="BP31" i="2"/>
  <c r="BP28" i="2"/>
  <c r="BP12" i="2"/>
  <c r="BP48" i="2"/>
  <c r="BP18" i="2"/>
  <c r="BP24" i="2"/>
  <c r="BP41" i="2"/>
  <c r="BP16" i="2"/>
  <c r="BP26" i="2"/>
  <c r="BP58" i="2"/>
  <c r="BP20" i="2"/>
  <c r="BQ9" i="2"/>
  <c r="BO51" i="2"/>
  <c r="BO53" i="2" s="1"/>
  <c r="BQ44" i="2" l="1"/>
  <c r="BQ45" i="2"/>
  <c r="BQ46" i="2"/>
  <c r="BQ43" i="2"/>
  <c r="BQ47" i="2"/>
  <c r="BQ48" i="2"/>
  <c r="BQ49" i="2"/>
  <c r="BQ50" i="2"/>
  <c r="BR9" i="2"/>
  <c r="BQ22" i="2"/>
  <c r="BQ14" i="2"/>
  <c r="BQ31" i="2"/>
  <c r="BQ16" i="2"/>
  <c r="BQ12" i="2"/>
  <c r="BQ28" i="2"/>
  <c r="BQ18" i="2"/>
  <c r="BQ58" i="2"/>
  <c r="BQ24" i="2"/>
  <c r="BQ26" i="2"/>
  <c r="BQ41" i="2"/>
  <c r="BQ20" i="2"/>
  <c r="BP51" i="2"/>
  <c r="BP53" i="2" s="1"/>
  <c r="BR43" i="2" l="1"/>
  <c r="BR44" i="2"/>
  <c r="BR45" i="2"/>
  <c r="BR47" i="2"/>
  <c r="BR48" i="2"/>
  <c r="BR49" i="2"/>
  <c r="BR46" i="2"/>
  <c r="BR50" i="2"/>
  <c r="BS9" i="2"/>
  <c r="BR24" i="2"/>
  <c r="BR14" i="2"/>
  <c r="BR58" i="2"/>
  <c r="BR20" i="2"/>
  <c r="BR22" i="2"/>
  <c r="BR12" i="2"/>
  <c r="BR26" i="2"/>
  <c r="BR31" i="2"/>
  <c r="BR18" i="2"/>
  <c r="BR16" i="2"/>
  <c r="BR28" i="2"/>
  <c r="BR41" i="2"/>
  <c r="BQ51" i="2"/>
  <c r="BQ53" i="2" s="1"/>
  <c r="BS44" i="2" l="1"/>
  <c r="BS45" i="2"/>
  <c r="BS46" i="2"/>
  <c r="BS43" i="2"/>
  <c r="BS47" i="2"/>
  <c r="BS48" i="2"/>
  <c r="BS49" i="2"/>
  <c r="BS50" i="2"/>
  <c r="BT9" i="2"/>
  <c r="BS22" i="2"/>
  <c r="BS14" i="2"/>
  <c r="BS41" i="2"/>
  <c r="BS28" i="2"/>
  <c r="BS18" i="2"/>
  <c r="BS12" i="2"/>
  <c r="BS20" i="2"/>
  <c r="BS31" i="2"/>
  <c r="BS58" i="2"/>
  <c r="BS26" i="2"/>
  <c r="BS24" i="2"/>
  <c r="BS16" i="2"/>
  <c r="BR51" i="2"/>
  <c r="BR53" i="2" s="1"/>
  <c r="BT43" i="2" l="1"/>
  <c r="BT44" i="2"/>
  <c r="BT45" i="2"/>
  <c r="BT46" i="2"/>
  <c r="BT47" i="2"/>
  <c r="BT48" i="2"/>
  <c r="BT49" i="2"/>
  <c r="BT50" i="2"/>
  <c r="BU9" i="2"/>
  <c r="BT22" i="2"/>
  <c r="BT14" i="2"/>
  <c r="BT31" i="2"/>
  <c r="BT28" i="2"/>
  <c r="BT12" i="2"/>
  <c r="BT18" i="2"/>
  <c r="BT24" i="2"/>
  <c r="BT41" i="2"/>
  <c r="BT16" i="2"/>
  <c r="BT26" i="2"/>
  <c r="BT58" i="2"/>
  <c r="BT20" i="2"/>
  <c r="BS51" i="2"/>
  <c r="BS53" i="2" s="1"/>
  <c r="BU44" i="2" l="1"/>
  <c r="BU45" i="2"/>
  <c r="BU46" i="2"/>
  <c r="BU43" i="2"/>
  <c r="BU47" i="2"/>
  <c r="BU48" i="2"/>
  <c r="BU49" i="2"/>
  <c r="BU50" i="2"/>
  <c r="BV9" i="2"/>
  <c r="BU22" i="2"/>
  <c r="BU14" i="2"/>
  <c r="BU41" i="2"/>
  <c r="BU16" i="2"/>
  <c r="BU28" i="2"/>
  <c r="BU12" i="2"/>
  <c r="BU18" i="2"/>
  <c r="BU58" i="2"/>
  <c r="BU24" i="2"/>
  <c r="BU20" i="2"/>
  <c r="BU26" i="2"/>
  <c r="BU31" i="2"/>
  <c r="BT51" i="2"/>
  <c r="BT53" i="2" s="1"/>
  <c r="BV43" i="2" l="1"/>
  <c r="BV46" i="2"/>
  <c r="BV44" i="2"/>
  <c r="BV47" i="2"/>
  <c r="BV48" i="2"/>
  <c r="BV49" i="2"/>
  <c r="BV50" i="2"/>
  <c r="BV45" i="2"/>
  <c r="BW9" i="2"/>
  <c r="BV24" i="2"/>
  <c r="BV14" i="2"/>
  <c r="BV31" i="2"/>
  <c r="BV22" i="2"/>
  <c r="BV12" i="2"/>
  <c r="BV20" i="2"/>
  <c r="BV26" i="2"/>
  <c r="BV41" i="2"/>
  <c r="BV16" i="2"/>
  <c r="BV58" i="2"/>
  <c r="BV18" i="2"/>
  <c r="BV28" i="2"/>
  <c r="BU51" i="2"/>
  <c r="BU53" i="2" s="1"/>
  <c r="BW44" i="2" l="1"/>
  <c r="BW45" i="2"/>
  <c r="BW46" i="2"/>
  <c r="BW43" i="2"/>
  <c r="BW48" i="2"/>
  <c r="BW47" i="2"/>
  <c r="BX9" i="2"/>
  <c r="BW50" i="2"/>
  <c r="BW49" i="2"/>
  <c r="BW22" i="2"/>
  <c r="BW20" i="2"/>
  <c r="BW31" i="2"/>
  <c r="BW14" i="2"/>
  <c r="BW28" i="2"/>
  <c r="BW12" i="2"/>
  <c r="BW16" i="2"/>
  <c r="BW26" i="2"/>
  <c r="BW58" i="2"/>
  <c r="BW41" i="2"/>
  <c r="BW18" i="2"/>
  <c r="BW24" i="2"/>
  <c r="BV51" i="2"/>
  <c r="BV53" i="2" s="1"/>
  <c r="BX43" i="2" l="1"/>
  <c r="BX44" i="2"/>
  <c r="BX46" i="2"/>
  <c r="BX49" i="2"/>
  <c r="BX50" i="2"/>
  <c r="BX48" i="2"/>
  <c r="BX47" i="2"/>
  <c r="BX45" i="2"/>
  <c r="BY9" i="2"/>
  <c r="BX22" i="2"/>
  <c r="BX14" i="2"/>
  <c r="BX31" i="2"/>
  <c r="BX28" i="2"/>
  <c r="BX12" i="2"/>
  <c r="BX18" i="2"/>
  <c r="BX24" i="2"/>
  <c r="BX41" i="2"/>
  <c r="BX58" i="2"/>
  <c r="BX16" i="2"/>
  <c r="BX20" i="2"/>
  <c r="BX26" i="2"/>
  <c r="BW51" i="2"/>
  <c r="BW53" i="2" s="1"/>
  <c r="BY44" i="2" l="1"/>
  <c r="BY45" i="2"/>
  <c r="BY46" i="2"/>
  <c r="BY43" i="2"/>
  <c r="BY47" i="2"/>
  <c r="BY48" i="2"/>
  <c r="BY49" i="2"/>
  <c r="BY50" i="2"/>
  <c r="BZ9" i="2"/>
  <c r="BY22" i="2"/>
  <c r="BY18" i="2"/>
  <c r="BY31" i="2"/>
  <c r="BY16" i="2"/>
  <c r="BY28" i="2"/>
  <c r="BY12" i="2"/>
  <c r="BY14" i="2"/>
  <c r="BY26" i="2"/>
  <c r="BY24" i="2"/>
  <c r="BY20" i="2"/>
  <c r="BY58" i="2"/>
  <c r="BY41" i="2"/>
  <c r="BX51" i="2"/>
  <c r="BX53" i="2" s="1"/>
  <c r="BZ43" i="2" l="1"/>
  <c r="BZ45" i="2"/>
  <c r="BZ47" i="2"/>
  <c r="BZ48" i="2"/>
  <c r="BZ49" i="2"/>
  <c r="BZ44" i="2"/>
  <c r="BZ50" i="2"/>
  <c r="BZ46" i="2"/>
  <c r="CA9" i="2"/>
  <c r="BZ24" i="2"/>
  <c r="BZ14" i="2"/>
  <c r="BZ41" i="2"/>
  <c r="BZ22" i="2"/>
  <c r="BZ20" i="2"/>
  <c r="BZ12" i="2"/>
  <c r="BZ26" i="2"/>
  <c r="BZ31" i="2"/>
  <c r="BZ18" i="2"/>
  <c r="BZ16" i="2"/>
  <c r="BZ58" i="2"/>
  <c r="BZ28" i="2"/>
  <c r="BY51" i="2"/>
  <c r="BY53" i="2" s="1"/>
  <c r="CA44" i="2" l="1"/>
  <c r="CA45" i="2"/>
  <c r="CA46" i="2"/>
  <c r="CA43" i="2"/>
  <c r="CA47" i="2"/>
  <c r="CA48" i="2"/>
  <c r="CA49" i="2"/>
  <c r="CA50" i="2"/>
  <c r="CB9" i="2"/>
  <c r="CA22" i="2"/>
  <c r="CA20" i="2"/>
  <c r="CA31" i="2"/>
  <c r="CA28" i="2"/>
  <c r="CA12" i="2"/>
  <c r="CA14" i="2"/>
  <c r="CA16" i="2"/>
  <c r="CA26" i="2"/>
  <c r="CA58" i="2"/>
  <c r="CA41" i="2"/>
  <c r="CA18" i="2"/>
  <c r="CA24" i="2"/>
  <c r="BZ51" i="2"/>
  <c r="BZ53" i="2" s="1"/>
  <c r="CB43" i="2" l="1"/>
  <c r="CB44" i="2"/>
  <c r="CB45" i="2"/>
  <c r="CB47" i="2"/>
  <c r="CB48" i="2"/>
  <c r="CB49" i="2"/>
  <c r="CB46" i="2"/>
  <c r="CB50" i="2"/>
  <c r="CC9" i="2"/>
  <c r="CB22" i="2"/>
  <c r="CB14" i="2"/>
  <c r="CB31" i="2"/>
  <c r="CB18" i="2"/>
  <c r="CB28" i="2"/>
  <c r="CB12" i="2"/>
  <c r="CB24" i="2"/>
  <c r="CB41" i="2"/>
  <c r="CB26" i="2"/>
  <c r="CB16" i="2"/>
  <c r="CB20" i="2"/>
  <c r="CB58" i="2"/>
  <c r="CA51" i="2"/>
  <c r="CA53" i="2" s="1"/>
  <c r="CC44" i="2" l="1"/>
  <c r="CC45" i="2"/>
  <c r="CC46" i="2"/>
  <c r="CC43" i="2"/>
  <c r="CC47" i="2"/>
  <c r="CC48" i="2"/>
  <c r="CC49" i="2"/>
  <c r="CC50" i="2"/>
  <c r="CD9" i="2"/>
  <c r="CC22" i="2"/>
  <c r="CC18" i="2"/>
  <c r="CC58" i="2"/>
  <c r="CC28" i="2"/>
  <c r="CC16" i="2"/>
  <c r="CC12" i="2"/>
  <c r="CC14" i="2"/>
  <c r="CC26" i="2"/>
  <c r="CC31" i="2"/>
  <c r="CC24" i="2"/>
  <c r="CC20" i="2"/>
  <c r="CC41" i="2"/>
  <c r="CB51" i="2"/>
  <c r="CB53" i="2" s="1"/>
  <c r="CD43" i="2" l="1"/>
  <c r="CD44" i="2"/>
  <c r="CD46" i="2"/>
  <c r="CD47" i="2"/>
  <c r="CD48" i="2"/>
  <c r="CD49" i="2"/>
  <c r="CD45" i="2"/>
  <c r="CD50" i="2"/>
  <c r="CE9" i="2"/>
  <c r="CD24" i="2"/>
  <c r="CD14" i="2"/>
  <c r="CD31" i="2"/>
  <c r="CD22" i="2"/>
  <c r="CD12" i="2"/>
  <c r="CD20" i="2"/>
  <c r="CD26" i="2"/>
  <c r="CD58" i="2"/>
  <c r="CD16" i="2"/>
  <c r="CD28" i="2"/>
  <c r="CD18" i="2"/>
  <c r="CD41" i="2"/>
  <c r="CC51" i="2"/>
  <c r="CC53" i="2" s="1"/>
  <c r="CE44" i="2" l="1"/>
  <c r="CE45" i="2"/>
  <c r="CE46" i="2"/>
  <c r="CE43" i="2"/>
  <c r="CE49" i="2"/>
  <c r="CE48" i="2"/>
  <c r="CF9" i="2"/>
  <c r="CE50" i="2"/>
  <c r="CE47" i="2"/>
  <c r="CE22" i="2"/>
  <c r="CE20" i="2"/>
  <c r="CE31" i="2"/>
  <c r="CE14" i="2"/>
  <c r="CE28" i="2"/>
  <c r="CE12" i="2"/>
  <c r="CE16" i="2"/>
  <c r="CE26" i="2"/>
  <c r="CE58" i="2"/>
  <c r="CE41" i="2"/>
  <c r="CE18" i="2"/>
  <c r="CE24" i="2"/>
  <c r="CD51" i="2"/>
  <c r="CD53" i="2" s="1"/>
  <c r="CF43" i="2" l="1"/>
  <c r="CF44" i="2"/>
  <c r="CF46" i="2"/>
  <c r="CF45" i="2"/>
  <c r="CF47" i="2"/>
  <c r="CF50" i="2"/>
  <c r="CF49" i="2"/>
  <c r="CF48" i="2"/>
  <c r="CG9" i="2"/>
  <c r="CF22" i="2"/>
  <c r="CF14" i="2"/>
  <c r="CF31" i="2"/>
  <c r="CF28" i="2"/>
  <c r="CF12" i="2"/>
  <c r="CF18" i="2"/>
  <c r="CF24" i="2"/>
  <c r="CF41" i="2"/>
  <c r="CF26" i="2"/>
  <c r="CF58" i="2"/>
  <c r="CF16" i="2"/>
  <c r="CF20" i="2"/>
  <c r="CE51" i="2"/>
  <c r="CE53" i="2" s="1"/>
  <c r="CG44" i="2" l="1"/>
  <c r="CG45" i="2"/>
  <c r="CG46" i="2"/>
  <c r="CG43" i="2"/>
  <c r="CG47" i="2"/>
  <c r="CG48" i="2"/>
  <c r="CG49" i="2"/>
  <c r="CG50" i="2"/>
  <c r="CH9" i="2"/>
  <c r="CG22" i="2"/>
  <c r="CG18" i="2"/>
  <c r="CG31" i="2"/>
  <c r="CG16" i="2"/>
  <c r="CG28" i="2"/>
  <c r="CG12" i="2"/>
  <c r="CG14" i="2"/>
  <c r="CG26" i="2"/>
  <c r="CG58" i="2"/>
  <c r="CG24" i="2"/>
  <c r="CG41" i="2"/>
  <c r="CG20" i="2"/>
  <c r="CF51" i="2"/>
  <c r="CF53" i="2" s="1"/>
  <c r="CH43" i="2" l="1"/>
  <c r="CH44" i="2"/>
  <c r="CH45" i="2"/>
  <c r="CH47" i="2"/>
  <c r="CH48" i="2"/>
  <c r="CH49" i="2"/>
  <c r="CH46" i="2"/>
  <c r="CH50" i="2"/>
  <c r="CI9" i="2"/>
  <c r="CH24" i="2"/>
  <c r="CH12" i="2"/>
  <c r="CH41" i="2"/>
  <c r="CH22" i="2"/>
  <c r="CH14" i="2"/>
  <c r="CH20" i="2"/>
  <c r="CH26" i="2"/>
  <c r="CH31" i="2"/>
  <c r="CH28" i="2"/>
  <c r="CH58" i="2"/>
  <c r="CH18" i="2"/>
  <c r="CH16" i="2"/>
  <c r="CG51" i="2"/>
  <c r="CG53" i="2" s="1"/>
  <c r="CI44" i="2" l="1"/>
  <c r="CI45" i="2"/>
  <c r="CI46" i="2"/>
  <c r="CI43" i="2"/>
  <c r="CI47" i="2"/>
  <c r="CI48" i="2"/>
  <c r="CI49" i="2"/>
  <c r="CI50" i="2"/>
  <c r="CJ9" i="2"/>
  <c r="CI22" i="2"/>
  <c r="CI20" i="2"/>
  <c r="CI41" i="2"/>
  <c r="CI14" i="2"/>
  <c r="CI28" i="2"/>
  <c r="CI12" i="2"/>
  <c r="CI16" i="2"/>
  <c r="CI26" i="2"/>
  <c r="CI24" i="2"/>
  <c r="CI18" i="2"/>
  <c r="CI58" i="2"/>
  <c r="CI31" i="2"/>
  <c r="CH51" i="2"/>
  <c r="CH53" i="2" s="1"/>
  <c r="CJ43" i="2" l="1"/>
  <c r="CJ44" i="2"/>
  <c r="CJ45" i="2"/>
  <c r="CJ46" i="2"/>
  <c r="CJ47" i="2"/>
  <c r="CJ48" i="2"/>
  <c r="CJ49" i="2"/>
  <c r="CJ50" i="2"/>
  <c r="CK9" i="2"/>
  <c r="CJ22" i="2"/>
  <c r="CJ14" i="2"/>
  <c r="CJ31" i="2"/>
  <c r="CJ28" i="2"/>
  <c r="CJ12" i="2"/>
  <c r="CJ18" i="2"/>
  <c r="CJ24" i="2"/>
  <c r="CJ41" i="2"/>
  <c r="CJ16" i="2"/>
  <c r="CJ20" i="2"/>
  <c r="CJ26" i="2"/>
  <c r="CJ58" i="2"/>
  <c r="CI51" i="2"/>
  <c r="CI53" i="2" s="1"/>
  <c r="CK44" i="2" l="1"/>
  <c r="CK45" i="2"/>
  <c r="CK46" i="2"/>
  <c r="CK43" i="2"/>
  <c r="CK47" i="2"/>
  <c r="CK48" i="2"/>
  <c r="CK49" i="2"/>
  <c r="CK50" i="2"/>
  <c r="CL9" i="2"/>
  <c r="CK22" i="2"/>
  <c r="CK18" i="2"/>
  <c r="CK31" i="2"/>
  <c r="CK16" i="2"/>
  <c r="CK28" i="2"/>
  <c r="CK12" i="2"/>
  <c r="CK14" i="2"/>
  <c r="CK58" i="2"/>
  <c r="CK24" i="2"/>
  <c r="CK20" i="2"/>
  <c r="CK26" i="2"/>
  <c r="CK41" i="2"/>
  <c r="CJ51" i="2"/>
  <c r="CJ53" i="2" s="1"/>
  <c r="CL43" i="2" l="1"/>
  <c r="CL46" i="2"/>
  <c r="CL44" i="2"/>
  <c r="CL47" i="2"/>
  <c r="CL48" i="2"/>
  <c r="CL49" i="2"/>
  <c r="CL50" i="2"/>
  <c r="CL45" i="2"/>
  <c r="CM9" i="2"/>
  <c r="CL24" i="2"/>
  <c r="CL14" i="2"/>
  <c r="CL31" i="2"/>
  <c r="CL22" i="2"/>
  <c r="CL12" i="2"/>
  <c r="CL20" i="2"/>
  <c r="CL26" i="2"/>
  <c r="CL41" i="2"/>
  <c r="CL16" i="2"/>
  <c r="CL28" i="2"/>
  <c r="CL58" i="2"/>
  <c r="CL18" i="2"/>
  <c r="CK51" i="2"/>
  <c r="CK53" i="2" s="1"/>
  <c r="CM44" i="2" l="1"/>
  <c r="CM45" i="2"/>
  <c r="CM46" i="2"/>
  <c r="CM43" i="2"/>
  <c r="CM48" i="2"/>
  <c r="CM47" i="2"/>
  <c r="CN9" i="2"/>
  <c r="CM50" i="2"/>
  <c r="CM49" i="2"/>
  <c r="CM22" i="2"/>
  <c r="CM20" i="2"/>
  <c r="CM58" i="2"/>
  <c r="CM12" i="2"/>
  <c r="CM28" i="2"/>
  <c r="CM14" i="2"/>
  <c r="CM16" i="2"/>
  <c r="CM26" i="2"/>
  <c r="CM31" i="2"/>
  <c r="CM41" i="2"/>
  <c r="CM24" i="2"/>
  <c r="CM18" i="2"/>
  <c r="CL51" i="2"/>
  <c r="CL53" i="2" s="1"/>
  <c r="CN43" i="2" l="1"/>
  <c r="CN44" i="2"/>
  <c r="CN46" i="2"/>
  <c r="CN45" i="2"/>
  <c r="CN49" i="2"/>
  <c r="CN50" i="2"/>
  <c r="CN48" i="2"/>
  <c r="CN47" i="2"/>
  <c r="CO9" i="2"/>
  <c r="CN22" i="2"/>
  <c r="CN14" i="2"/>
  <c r="CN31" i="2"/>
  <c r="CN18" i="2"/>
  <c r="CN28" i="2"/>
  <c r="CN12" i="2"/>
  <c r="CN24" i="2"/>
  <c r="CN41" i="2"/>
  <c r="CN16" i="2"/>
  <c r="CN20" i="2"/>
  <c r="CN26" i="2"/>
  <c r="CN58" i="2"/>
  <c r="CM51" i="2"/>
  <c r="CM53" i="2" s="1"/>
  <c r="CO44" i="2" l="1"/>
  <c r="CO45" i="2"/>
  <c r="CO46" i="2"/>
  <c r="CO43" i="2"/>
  <c r="CO47" i="2"/>
  <c r="CO48" i="2"/>
  <c r="CO49" i="2"/>
  <c r="CO50" i="2"/>
  <c r="CP9" i="2"/>
  <c r="CO22" i="2"/>
  <c r="CO18" i="2"/>
  <c r="CO41" i="2"/>
  <c r="CO28" i="2"/>
  <c r="CO12" i="2"/>
  <c r="CO16" i="2"/>
  <c r="CO14" i="2"/>
  <c r="CO26" i="2"/>
  <c r="CO58" i="2"/>
  <c r="CO20" i="2"/>
  <c r="CO31" i="2"/>
  <c r="CO24" i="2"/>
  <c r="CN51" i="2"/>
  <c r="CN53" i="2" s="1"/>
  <c r="CP43" i="2" l="1"/>
  <c r="CP45" i="2"/>
  <c r="CP47" i="2"/>
  <c r="CP48" i="2"/>
  <c r="CP44" i="2"/>
  <c r="CP49" i="2"/>
  <c r="CP50" i="2"/>
  <c r="CP46" i="2"/>
  <c r="CQ9" i="2"/>
  <c r="CP24" i="2"/>
  <c r="CP14" i="2"/>
  <c r="CP41" i="2"/>
  <c r="CP20" i="2"/>
  <c r="CP22" i="2"/>
  <c r="CP12" i="2"/>
  <c r="CP26" i="2"/>
  <c r="CP31" i="2"/>
  <c r="CP18" i="2"/>
  <c r="CP58" i="2"/>
  <c r="CP16" i="2"/>
  <c r="CP28" i="2"/>
  <c r="CO51" i="2"/>
  <c r="CO53" i="2" s="1"/>
  <c r="CQ44" i="2" l="1"/>
  <c r="CQ45" i="2"/>
  <c r="CQ46" i="2"/>
  <c r="CQ43" i="2"/>
  <c r="CQ47" i="2"/>
  <c r="CQ48" i="2"/>
  <c r="CQ49" i="2"/>
  <c r="CQ50" i="2"/>
  <c r="CR9" i="2"/>
  <c r="CQ22" i="2"/>
  <c r="CQ20" i="2"/>
  <c r="CQ31" i="2"/>
  <c r="CQ28" i="2"/>
  <c r="CQ12" i="2"/>
  <c r="CQ14" i="2"/>
  <c r="CQ16" i="2"/>
  <c r="CQ26" i="2"/>
  <c r="CQ58" i="2"/>
  <c r="CQ24" i="2"/>
  <c r="CQ18" i="2"/>
  <c r="CQ41" i="2"/>
  <c r="CP51" i="2"/>
  <c r="CP53" i="2" s="1"/>
  <c r="CQ51" i="2" l="1"/>
  <c r="CQ53" i="2" s="1"/>
  <c r="CR43" i="2"/>
  <c r="CR44" i="2"/>
  <c r="CR45" i="2"/>
  <c r="CR47" i="2"/>
  <c r="CR48" i="2"/>
  <c r="CR49" i="2"/>
  <c r="CR50" i="2"/>
  <c r="CS9" i="2"/>
  <c r="CR46" i="2"/>
  <c r="CR22" i="2"/>
  <c r="CR14" i="2"/>
  <c r="CR31" i="2"/>
  <c r="CR18" i="2"/>
  <c r="CR28" i="2"/>
  <c r="CR12" i="2"/>
  <c r="CR24" i="2"/>
  <c r="CR41" i="2"/>
  <c r="CR20" i="2"/>
  <c r="CR26" i="2"/>
  <c r="CR16" i="2"/>
  <c r="CR58" i="2"/>
  <c r="CR51" i="2" l="1"/>
  <c r="CR53" i="2" s="1"/>
  <c r="CS44" i="2"/>
  <c r="CS45" i="2"/>
  <c r="CS46" i="2"/>
  <c r="CS43" i="2"/>
  <c r="CS47" i="2"/>
  <c r="CS48" i="2"/>
  <c r="CS49" i="2"/>
  <c r="CS50" i="2"/>
  <c r="CT9" i="2"/>
  <c r="CS22" i="2"/>
  <c r="CS18" i="2"/>
  <c r="CS31" i="2"/>
  <c r="CS28" i="2"/>
  <c r="CS16" i="2"/>
  <c r="CS12" i="2"/>
  <c r="CS14" i="2"/>
  <c r="CS26" i="2"/>
  <c r="CS58" i="2"/>
  <c r="CS41" i="2"/>
  <c r="CS20" i="2"/>
  <c r="CS24" i="2"/>
  <c r="CT43" i="2" l="1"/>
  <c r="CT44" i="2"/>
  <c r="CT46" i="2"/>
  <c r="CT47" i="2"/>
  <c r="CT48" i="2"/>
  <c r="CT45" i="2"/>
  <c r="CT49" i="2"/>
  <c r="CT50" i="2"/>
  <c r="CU9" i="2"/>
  <c r="CT24" i="2"/>
  <c r="CT14" i="2"/>
  <c r="CT31" i="2"/>
  <c r="CT22" i="2"/>
  <c r="CT12" i="2"/>
  <c r="CT20" i="2"/>
  <c r="CT26" i="2"/>
  <c r="CT41" i="2"/>
  <c r="CT28" i="2"/>
  <c r="CT18" i="2"/>
  <c r="CT16" i="2"/>
  <c r="CT58" i="2"/>
  <c r="CS51" i="2"/>
  <c r="CS53" i="2" s="1"/>
  <c r="CU44" i="2" l="1"/>
  <c r="CU45" i="2"/>
  <c r="CU46" i="2"/>
  <c r="CU43" i="2"/>
  <c r="CU48" i="2"/>
  <c r="CV9" i="2"/>
  <c r="CU49" i="2"/>
  <c r="CU50" i="2"/>
  <c r="CU22" i="2"/>
  <c r="CU20" i="2"/>
  <c r="CU41" i="2"/>
  <c r="CU14" i="2"/>
  <c r="CU47" i="2"/>
  <c r="CU28" i="2"/>
  <c r="CU12" i="2"/>
  <c r="CU16" i="2"/>
  <c r="CU26" i="2"/>
  <c r="CU58" i="2"/>
  <c r="CU24" i="2"/>
  <c r="CU31" i="2"/>
  <c r="CU18" i="2"/>
  <c r="CT51" i="2"/>
  <c r="CT53" i="2" s="1"/>
  <c r="CV43" i="2" l="1"/>
  <c r="CV44" i="2"/>
  <c r="CV46" i="2"/>
  <c r="CV45" i="2"/>
  <c r="CV47" i="2"/>
  <c r="CV49" i="2"/>
  <c r="CV50" i="2"/>
  <c r="CV48" i="2"/>
  <c r="CV22" i="2"/>
  <c r="CV14" i="2"/>
  <c r="CV31" i="2"/>
  <c r="CV28" i="2"/>
  <c r="CV12" i="2"/>
  <c r="CW9" i="2"/>
  <c r="CV18" i="2"/>
  <c r="CV24" i="2"/>
  <c r="CV41" i="2"/>
  <c r="CV16" i="2"/>
  <c r="CV20" i="2"/>
  <c r="CV26" i="2"/>
  <c r="CV58" i="2"/>
  <c r="CU51" i="2"/>
  <c r="CU53" i="2" s="1"/>
  <c r="CW44" i="2" l="1"/>
  <c r="CW45" i="2"/>
  <c r="CW46" i="2"/>
  <c r="CW43" i="2"/>
  <c r="CW47" i="2"/>
  <c r="CW48" i="2"/>
  <c r="CW49" i="2"/>
  <c r="CW50" i="2"/>
  <c r="CX9" i="2"/>
  <c r="CW22" i="2"/>
  <c r="CW18" i="2"/>
  <c r="CW31" i="2"/>
  <c r="CW16" i="2"/>
  <c r="CW28" i="2"/>
  <c r="CW12" i="2"/>
  <c r="CW14" i="2"/>
  <c r="CW58" i="2"/>
  <c r="CW24" i="2"/>
  <c r="CW20" i="2"/>
  <c r="CW26" i="2"/>
  <c r="CW41" i="2"/>
  <c r="CV51" i="2"/>
  <c r="CV53" i="2" s="1"/>
  <c r="CX43" i="2" l="1"/>
  <c r="CX44" i="2"/>
  <c r="CX45" i="2"/>
  <c r="CX47" i="2"/>
  <c r="CX48" i="2"/>
  <c r="CX46" i="2"/>
  <c r="CX49" i="2"/>
  <c r="CX50" i="2"/>
  <c r="CY9" i="2"/>
  <c r="CX26" i="2"/>
  <c r="CX16" i="2"/>
  <c r="CX41" i="2"/>
  <c r="CX12" i="2"/>
  <c r="CX24" i="2"/>
  <c r="CX58" i="2"/>
  <c r="CX28" i="2"/>
  <c r="CX31" i="2"/>
  <c r="CX20" i="2"/>
  <c r="CX18" i="2"/>
  <c r="CX14" i="2"/>
  <c r="CX22" i="2"/>
  <c r="CW51" i="2"/>
  <c r="CW53" i="2" s="1"/>
  <c r="CY44" i="2" l="1"/>
  <c r="CY45" i="2"/>
  <c r="CY46" i="2"/>
  <c r="CY43" i="2"/>
  <c r="CY47" i="2"/>
  <c r="CY48" i="2"/>
  <c r="CY49" i="2"/>
  <c r="CY50" i="2"/>
  <c r="CZ9" i="2"/>
  <c r="CY24" i="2"/>
  <c r="CY16" i="2"/>
  <c r="CY58" i="2"/>
  <c r="CY31" i="2"/>
  <c r="CY22" i="2"/>
  <c r="CY20" i="2"/>
  <c r="CY18" i="2"/>
  <c r="CY12" i="2"/>
  <c r="CY41" i="2"/>
  <c r="CY28" i="2"/>
  <c r="CY26" i="2"/>
  <c r="CY14" i="2"/>
  <c r="CX51" i="2"/>
  <c r="CX53" i="2" s="1"/>
  <c r="CZ43" i="2" l="1"/>
  <c r="CZ44" i="2"/>
  <c r="D44" i="2" s="1"/>
  <c r="CZ45" i="2"/>
  <c r="D45" i="2" s="1"/>
  <c r="CZ46" i="2"/>
  <c r="D46" i="2" s="1"/>
  <c r="CZ47" i="2"/>
  <c r="D47" i="2" s="1"/>
  <c r="CZ48" i="2"/>
  <c r="D48" i="2" s="1"/>
  <c r="CZ49" i="2"/>
  <c r="D49" i="2" s="1"/>
  <c r="CZ50" i="2"/>
  <c r="D50" i="2" s="1"/>
  <c r="CZ24" i="2"/>
  <c r="CZ20" i="2"/>
  <c r="CZ58" i="2"/>
  <c r="CZ41" i="2"/>
  <c r="CZ14" i="2"/>
  <c r="CZ22" i="2"/>
  <c r="CZ26" i="2"/>
  <c r="CZ31" i="2"/>
  <c r="CZ18" i="2"/>
  <c r="CZ16" i="2"/>
  <c r="CZ28" i="2"/>
  <c r="CZ12" i="2"/>
  <c r="CY51" i="2"/>
  <c r="CY53" i="2" s="1"/>
  <c r="G22" i="2" l="1"/>
  <c r="F22" i="2"/>
  <c r="G20" i="2"/>
  <c r="F20" i="2"/>
  <c r="F16" i="2"/>
  <c r="G16" i="2"/>
  <c r="F14" i="2"/>
  <c r="G14" i="2"/>
  <c r="CZ51" i="2"/>
  <c r="CZ53" i="2" s="1"/>
  <c r="D43" i="2"/>
  <c r="D51" i="2" s="1"/>
  <c r="F18" i="2"/>
  <c r="G18" i="2"/>
  <c r="F12" i="2"/>
  <c r="G12" i="2"/>
  <c r="K54" i="2" l="1"/>
  <c r="G29" i="2"/>
  <c r="F29" i="2"/>
  <c r="F51" i="2" s="1"/>
  <c r="D61" i="2"/>
  <c r="F61" i="2" l="1"/>
  <c r="G51" i="2"/>
</calcChain>
</file>

<file path=xl/sharedStrings.xml><?xml version="1.0" encoding="utf-8"?>
<sst xmlns="http://schemas.openxmlformats.org/spreadsheetml/2006/main" count="651" uniqueCount="413">
  <si>
    <r>
      <t>Activity (with Critical Path in</t>
    </r>
    <r>
      <rPr>
        <b/>
        <sz val="8"/>
        <color rgb="FFFF0000"/>
        <rFont val="Calibri"/>
        <family val="2"/>
        <scheme val="minor"/>
      </rPr>
      <t xml:space="preserve"> RED</t>
    </r>
    <r>
      <rPr>
        <b/>
        <sz val="8"/>
        <color theme="1"/>
        <rFont val="Calibri"/>
        <family val="2"/>
        <scheme val="minor"/>
      </rPr>
      <t>)</t>
    </r>
  </si>
  <si>
    <t>Net Start</t>
  </si>
  <si>
    <t>Net Finish</t>
  </si>
  <si>
    <t>W.D</t>
  </si>
  <si>
    <t>Apr</t>
  </si>
  <si>
    <t>May</t>
  </si>
  <si>
    <t>Jun</t>
  </si>
  <si>
    <t>Jul</t>
  </si>
  <si>
    <t>Aug</t>
  </si>
  <si>
    <t>Sep</t>
  </si>
  <si>
    <t>Oct</t>
  </si>
  <si>
    <t>Nov</t>
  </si>
  <si>
    <t>Dec</t>
  </si>
  <si>
    <t>Jan</t>
  </si>
  <si>
    <t>Feb</t>
  </si>
  <si>
    <t>Mar</t>
  </si>
  <si>
    <t>Site Establishment</t>
  </si>
  <si>
    <t>Rain</t>
  </si>
  <si>
    <t>Heat</t>
  </si>
  <si>
    <t>Cold / Frost</t>
  </si>
  <si>
    <t>Wind</t>
  </si>
  <si>
    <t>Delay Risk Notes</t>
  </si>
  <si>
    <t>Totals</t>
  </si>
  <si>
    <t xml:space="preserve">Wind (Assumption) </t>
  </si>
  <si>
    <t>Client / Authority</t>
  </si>
  <si>
    <t>Subcontractor</t>
  </si>
  <si>
    <t>Industrial (Assumption)</t>
  </si>
  <si>
    <t>Plant</t>
  </si>
  <si>
    <t>Other</t>
  </si>
  <si>
    <t>Cumulative Total</t>
  </si>
  <si>
    <t>Calculation Notes</t>
  </si>
  <si>
    <t>Non Working Days (Xmas / Easter Shut Down)</t>
  </si>
  <si>
    <t>Working Days</t>
  </si>
  <si>
    <t>Gross Work Days Per Month 
(ie Cal Days - Hols, RDOs, NWDs etc)</t>
  </si>
  <si>
    <t>Cumulative Net Work Days</t>
  </si>
  <si>
    <t>Cumulative Gross Work Days</t>
  </si>
  <si>
    <t>Maximum temperature</t>
  </si>
  <si>
    <t>Mean maximum temperature (°C)</t>
  </si>
  <si>
    <t xml:space="preserve">Highest temperature (°C) </t>
  </si>
  <si>
    <t xml:space="preserve">Lowest maximum temperature (°C) </t>
  </si>
  <si>
    <t xml:space="preserve">Decile 1 maximum temperature (°C) </t>
  </si>
  <si>
    <t xml:space="preserve">Decile 9 maximum temperature(°C) </t>
  </si>
  <si>
    <t>Mean number of days ≥ 30 °C</t>
  </si>
  <si>
    <t>Mean number of days ≥ 35 °C</t>
  </si>
  <si>
    <t>Mean number of days ≥ 40 °C</t>
  </si>
  <si>
    <t>Minimum temperature</t>
  </si>
  <si>
    <t>Mean minimum temperature (°C)</t>
  </si>
  <si>
    <t>Lowest temperature (°C)</t>
  </si>
  <si>
    <t>Highest minimum temperature (°C)</t>
  </si>
  <si>
    <t xml:space="preserve">Decile 1 minimum temperature (°C) </t>
  </si>
  <si>
    <t xml:space="preserve">Decile 9 minimum temperature (°C) </t>
  </si>
  <si>
    <t xml:space="preserve">Mean number of days ≤ 2 °C </t>
  </si>
  <si>
    <t xml:space="preserve">Mean number of days ≤ 0 °C </t>
  </si>
  <si>
    <t>Ground surface temperature</t>
  </si>
  <si>
    <t xml:space="preserve">Mean daily ground minimum temperature (°C) </t>
  </si>
  <si>
    <t xml:space="preserve">Lowest ground temperature (°C) </t>
  </si>
  <si>
    <t xml:space="preserve">Mean number of days ground min. temp. ≤ -1 °C </t>
  </si>
  <si>
    <t>Statistics</t>
  </si>
  <si>
    <t>Annual</t>
  </si>
  <si>
    <t>Rainfall</t>
  </si>
  <si>
    <t xml:space="preserve">Mean rainfall (mm) </t>
  </si>
  <si>
    <t xml:space="preserve">Highest rainfall (mm) </t>
  </si>
  <si>
    <t xml:space="preserve">Lowest rainfall (mm) </t>
  </si>
  <si>
    <t xml:space="preserve">Decile 1 rainfall (mm) </t>
  </si>
  <si>
    <t xml:space="preserve">Decile 5 (median) rainfall (mm) </t>
  </si>
  <si>
    <t xml:space="preserve">Decile 9 rainfall (mm) </t>
  </si>
  <si>
    <t xml:space="preserve">Highest daily rainfall (mm) </t>
  </si>
  <si>
    <t xml:space="preserve">Mean number of days of rain </t>
  </si>
  <si>
    <t xml:space="preserve">Mean number of days of rain ≥ 1 mm </t>
  </si>
  <si>
    <t xml:space="preserve">Mean number of days of rain ≥ 10 mm </t>
  </si>
  <si>
    <t xml:space="preserve">Mean number of days of rain ≥ 25 mm </t>
  </si>
  <si>
    <t xml:space="preserve">Mean daily wind run (km) </t>
  </si>
  <si>
    <t xml:space="preserve">Maximum wind gust speed (km/h) </t>
  </si>
  <si>
    <t xml:space="preserve">Mean daily sunshine (hours) </t>
  </si>
  <si>
    <t xml:space="preserve">Mean daily solar exposure (MJ/m2) </t>
  </si>
  <si>
    <t xml:space="preserve">Mean number of clear days </t>
  </si>
  <si>
    <t xml:space="preserve">Mean number of cloudy days </t>
  </si>
  <si>
    <t xml:space="preserve">Mean daily evaporation (mm) </t>
  </si>
  <si>
    <t>9 am conditions</t>
  </si>
  <si>
    <t xml:space="preserve">Mean 9am temperature (°C) </t>
  </si>
  <si>
    <t xml:space="preserve">Mean 9am wet-bulb temperature (°C) </t>
  </si>
  <si>
    <t xml:space="preserve">Mean 9am dew-point temperature (°C) </t>
  </si>
  <si>
    <t xml:space="preserve">Mean 9am relative humidity (%) </t>
  </si>
  <si>
    <t xml:space="preserve">Mean 9am cloud cover (oktas) </t>
  </si>
  <si>
    <t xml:space="preserve">Mean 9am wind speed (km/h) </t>
  </si>
  <si>
    <t>3 pm conditions</t>
  </si>
  <si>
    <t xml:space="preserve">Mean 3pm temperature (°C) </t>
  </si>
  <si>
    <t xml:space="preserve">Mean 3pm wet-bulb temperature (°C) </t>
  </si>
  <si>
    <t xml:space="preserve">Mean 3pm dew-point temperature (°C) </t>
  </si>
  <si>
    <t xml:space="preserve">Mean 3pm relative humidity (%) </t>
  </si>
  <si>
    <t xml:space="preserve">Mean 3pm cloud cover (oktas) </t>
  </si>
  <si>
    <t xml:space="preserve">Mean 3pm wind speed (km/h) </t>
  </si>
  <si>
    <t>Climate Notes</t>
  </si>
  <si>
    <t>Statistic Element</t>
  </si>
  <si>
    <t>January</t>
  </si>
  <si>
    <t>February</t>
  </si>
  <si>
    <t>March</t>
  </si>
  <si>
    <t>April</t>
  </si>
  <si>
    <t>June</t>
  </si>
  <si>
    <t>July</t>
  </si>
  <si>
    <t>August</t>
  </si>
  <si>
    <t>September</t>
  </si>
  <si>
    <t>October</t>
  </si>
  <si>
    <t>November</t>
  </si>
  <si>
    <t>December</t>
  </si>
  <si>
    <t>Number of Years</t>
  </si>
  <si>
    <t>Start Year</t>
  </si>
  <si>
    <t>End Year</t>
  </si>
  <si>
    <t xml:space="preserve"> </t>
  </si>
  <si>
    <t>N/A</t>
  </si>
  <si>
    <t>&lt;1mm</t>
  </si>
  <si>
    <t>&gt;1mm</t>
  </si>
  <si>
    <t>&gt;10mm</t>
  </si>
  <si>
    <t>&gt;25mm</t>
  </si>
  <si>
    <t>Direct</t>
  </si>
  <si>
    <t>Consequential</t>
  </si>
  <si>
    <t>Total</t>
  </si>
  <si>
    <t>Impact</t>
  </si>
  <si>
    <t>Delay</t>
  </si>
  <si>
    <t>EXPOSURE 2 CIVIL Detailed Excavation BUILDING Foundations and Ground Slabs</t>
  </si>
  <si>
    <t>Mean number of rain days &lt; 1 mm</t>
  </si>
  <si>
    <t>&lt;---Interpolated</t>
  </si>
  <si>
    <t>Other daily elements : Wind, Sunshine, Clear/Cloudy, Evaporation</t>
  </si>
  <si>
    <t>Daily</t>
  </si>
  <si>
    <t>Mean number of days ≥ 37 °C</t>
  </si>
  <si>
    <t xml:space="preserve">Inclement Weather Risk </t>
  </si>
  <si>
    <t>National</t>
  </si>
  <si>
    <t>NSW</t>
  </si>
  <si>
    <t>QLD</t>
  </si>
  <si>
    <t>VIC</t>
  </si>
  <si>
    <t>SA</t>
  </si>
  <si>
    <t>WA</t>
  </si>
  <si>
    <t>NT</t>
  </si>
  <si>
    <t>ACT</t>
  </si>
  <si>
    <t>TAS</t>
  </si>
  <si>
    <t>Sundays (typical 52 p.a.)</t>
  </si>
  <si>
    <t>Non Work Saturdays - depends on site roster</t>
  </si>
  <si>
    <r>
      <rPr>
        <b/>
        <sz val="10"/>
        <color theme="1"/>
        <rFont val="Calibri"/>
        <family val="2"/>
        <scheme val="minor"/>
      </rPr>
      <t xml:space="preserve">Calendar Days </t>
    </r>
    <r>
      <rPr>
        <sz val="10"/>
        <color theme="1"/>
        <rFont val="Calibri"/>
        <family val="2"/>
        <scheme val="minor"/>
      </rPr>
      <t>(Feb has 29 days for Leap Years)</t>
    </r>
  </si>
  <si>
    <t>Rainfall Percentages</t>
  </si>
  <si>
    <t>Cold</t>
  </si>
  <si>
    <t>Assumed Date of CONTRACT AWARD</t>
  </si>
  <si>
    <t>Assumed START ON SITE DATE</t>
  </si>
  <si>
    <t>.</t>
  </si>
  <si>
    <t>Tower cranes not able to lift for Wind Gusts &gt; 70kph</t>
  </si>
  <si>
    <t>Calculations used in Green Tab</t>
  </si>
  <si>
    <t>Source</t>
  </si>
  <si>
    <t>CFMEU</t>
  </si>
  <si>
    <t>MBA</t>
  </si>
  <si>
    <t>AWU</t>
  </si>
  <si>
    <r>
      <t xml:space="preserve">RDO's 
</t>
    </r>
    <r>
      <rPr>
        <sz val="10"/>
        <color theme="1"/>
        <rFont val="Calibri"/>
        <family val="2"/>
        <scheme val="minor"/>
      </rPr>
      <t>(These are indicative only and depend on the specific type of work and the individual trade union(s) which might be involved in the project).
Please Google individual State+Union RDO Calendars</t>
    </r>
  </si>
  <si>
    <t>Public Holidays (National)</t>
  </si>
  <si>
    <t>Public Holidays (State)</t>
  </si>
  <si>
    <t>Non Work SUNDAYS</t>
  </si>
  <si>
    <t>Non Work SATURDAYS</t>
  </si>
  <si>
    <t>Non Work Xmas/Easter</t>
  </si>
  <si>
    <t>WORKING DAYS</t>
  </si>
  <si>
    <t>Monthly Total (Working Days lost per Calendar Month)</t>
  </si>
  <si>
    <t>Cumulative Total (Working Days Lost)</t>
  </si>
  <si>
    <t>Clear &amp; Grub + Bulk Excavation</t>
  </si>
  <si>
    <t>Substructure</t>
  </si>
  <si>
    <t>Precast &amp; Steelwork Structure</t>
  </si>
  <si>
    <t>Fitout &amp; Finishes</t>
  </si>
  <si>
    <t>Testing &amp; Commissioning</t>
  </si>
  <si>
    <t>Note : Some of the BoM Weather Stations</t>
  </si>
  <si>
    <t>Do not have Wind Records</t>
  </si>
  <si>
    <t>In this case you may need to choose</t>
  </si>
  <si>
    <r>
      <t xml:space="preserve">These wind speeds populate the </t>
    </r>
    <r>
      <rPr>
        <b/>
        <sz val="11"/>
        <color rgb="FF00B050"/>
        <rFont val="Calibri"/>
        <family val="2"/>
        <scheme val="minor"/>
      </rPr>
      <t xml:space="preserve">Green TAB </t>
    </r>
    <r>
      <rPr>
        <sz val="11"/>
        <rFont val="Calibri"/>
        <family val="2"/>
        <scheme val="minor"/>
      </rPr>
      <t>colour scales</t>
    </r>
  </si>
  <si>
    <t>&lt;----------</t>
  </si>
  <si>
    <t>Wet Weather</t>
  </si>
  <si>
    <t>Forecast Delay Allowance in Working Days</t>
  </si>
  <si>
    <t>ONSITE MONTH NUMBER</t>
  </si>
  <si>
    <t xml:space="preserve">INSTRUCTIONS : </t>
  </si>
  <si>
    <t>PROJECT TITLE</t>
  </si>
  <si>
    <t>OVERALL NET TENDER PROGRAMME: DELAY ANALYSIS</t>
  </si>
  <si>
    <t>Printed :</t>
  </si>
  <si>
    <t>Planner :</t>
  </si>
  <si>
    <t>Henry Gannt</t>
  </si>
  <si>
    <t>OVERALL NET PROGRAMME - 6d Working Week, Inclusive of Fixed RDO's, Public Holidays &amp; Xmas / Easter Shut Downs</t>
  </si>
  <si>
    <t>NOTES (scroll down)</t>
  </si>
  <si>
    <t>another adjacent BoM station to download</t>
  </si>
  <si>
    <t>approximate wind data</t>
  </si>
  <si>
    <t>Total (Working Days lost)</t>
  </si>
  <si>
    <t>x</t>
  </si>
  <si>
    <t>Year</t>
  </si>
  <si>
    <t>For Projects &gt;32 month duration click the + sign above and adjust Print settings to view the relevant number of columns.
You may also have to move the JH logo, and drag the blue arrow out to the project finish</t>
  </si>
  <si>
    <t>TYPICAL CALENDAR YEAR</t>
  </si>
  <si>
    <r>
      <rPr>
        <b/>
        <sz val="10"/>
        <color theme="1"/>
        <rFont val="Calibri"/>
        <family val="2"/>
        <scheme val="minor"/>
      </rPr>
      <t>Typical Annual Public Holidays</t>
    </r>
    <r>
      <rPr>
        <sz val="10"/>
        <color theme="1"/>
        <rFont val="Calibri"/>
        <family val="2"/>
        <scheme val="minor"/>
      </rPr>
      <t xml:space="preserve">
7 National Hols: 2@Christmas, 2@Easter, 
New Year Day, Australia Day + Anzac Day
3 or 4 Annual State Public Holidays + Show Days 
</t>
    </r>
    <r>
      <rPr>
        <b/>
        <sz val="10"/>
        <color theme="1"/>
        <rFont val="Calibri"/>
        <family val="2"/>
        <scheme val="minor"/>
      </rPr>
      <t>Check Calendars or Google</t>
    </r>
  </si>
  <si>
    <t>For Clarity please note in cells G34:H35 the relevant State and Union RDO Calendar used</t>
  </si>
  <si>
    <t>SETCTION A : Typical Annual Non Work Days 
FOR REFERENCE</t>
  </si>
  <si>
    <t>SECTION B : ADJUST PROJECT WORK DAY CALENDAR HERE (copy/paste + manual input/edit)</t>
  </si>
  <si>
    <t>INSTRUCTIONS :</t>
  </si>
  <si>
    <t>Comments (right click Insert Comment) can also be added to cells in Section B to record specific holidays that have been included</t>
  </si>
  <si>
    <t>Non Work RDO's / Rosters</t>
  </si>
  <si>
    <t>Cold Weather (&lt;2 degress C.)                                       Lose</t>
  </si>
  <si>
    <t>Hot Weather (Average days over 37 degrees C.)    lose</t>
  </si>
  <si>
    <t>Cold Weather (&lt;2 degress C.)              Lose</t>
  </si>
  <si>
    <t>Mean number of rain days ≥ 10 mm and &lt; 25 mm</t>
  </si>
  <si>
    <t>Mean number of rain days ≥ 1 mm and &lt; 10 mm</t>
  </si>
  <si>
    <r>
      <t xml:space="preserve">Ratio </t>
    </r>
    <r>
      <rPr>
        <b/>
        <sz val="11"/>
        <color theme="1"/>
        <rFont val="Calibri"/>
        <family val="2"/>
        <scheme val="minor"/>
      </rPr>
      <t>Workdays:CalendarDays</t>
    </r>
  </si>
  <si>
    <t>TYPICAL WORK WEEK</t>
  </si>
  <si>
    <t>Day</t>
  </si>
  <si>
    <t>Work Hours</t>
  </si>
  <si>
    <t>Sunday</t>
  </si>
  <si>
    <t>Monday</t>
  </si>
  <si>
    <t>Tuesday</t>
  </si>
  <si>
    <t>Wednesday</t>
  </si>
  <si>
    <t>Thursday</t>
  </si>
  <si>
    <t>Friday</t>
  </si>
  <si>
    <t>Saturday</t>
  </si>
  <si>
    <t>Hours/Week</t>
  </si>
  <si>
    <t>Total Hours</t>
  </si>
  <si>
    <t>Work Hours :</t>
  </si>
  <si>
    <t>Annual Totals</t>
  </si>
  <si>
    <t>≥ 1 mm &amp; &lt; 10 mm</t>
  </si>
  <si>
    <t>≥ 10 mm &amp; &lt; 25 mm</t>
  </si>
  <si>
    <t xml:space="preserve">≥ 25 mm </t>
  </si>
  <si>
    <t>Adjust the Above Table for Working Hours Per Week</t>
  </si>
  <si>
    <r>
      <t xml:space="preserve">This Ratio is used in the calculations in the </t>
    </r>
    <r>
      <rPr>
        <b/>
        <sz val="11"/>
        <color rgb="FF00B050"/>
        <rFont val="Calibri"/>
        <family val="2"/>
        <scheme val="minor"/>
      </rPr>
      <t>Green TAB</t>
    </r>
  </si>
  <si>
    <r>
      <rPr>
        <b/>
        <sz val="11"/>
        <color theme="1"/>
        <rFont val="Calibri"/>
        <family val="2"/>
        <scheme val="minor"/>
      </rPr>
      <t xml:space="preserve">Rows 29 to 36 (Section B) </t>
    </r>
    <r>
      <rPr>
        <sz val="11"/>
        <color theme="1"/>
        <rFont val="Calibri"/>
        <family val="2"/>
        <scheme val="minor"/>
      </rPr>
      <t>Populate these cells with the relevant non-work days for the specific project under consideration.
Copy and paste from Section A and /or edit as appropriate</t>
    </r>
  </si>
  <si>
    <r>
      <t xml:space="preserve">&lt;-----Used in </t>
    </r>
    <r>
      <rPr>
        <b/>
        <sz val="11"/>
        <color rgb="FF00B050"/>
        <rFont val="Calibri"/>
        <family val="2"/>
        <scheme val="minor"/>
      </rPr>
      <t>GREEN TAB</t>
    </r>
    <r>
      <rPr>
        <sz val="11"/>
        <rFont val="Calibri"/>
        <family val="2"/>
        <scheme val="minor"/>
      </rPr>
      <t xml:space="preserve"> &lt;1mm</t>
    </r>
  </si>
  <si>
    <r>
      <t xml:space="preserve">&lt;-----Used in </t>
    </r>
    <r>
      <rPr>
        <b/>
        <sz val="11"/>
        <color rgb="FF00B050"/>
        <rFont val="Calibri"/>
        <family val="2"/>
        <scheme val="minor"/>
      </rPr>
      <t>GREEN TAB</t>
    </r>
    <r>
      <rPr>
        <sz val="11"/>
        <rFont val="Calibri"/>
        <family val="2"/>
        <scheme val="minor"/>
      </rPr>
      <t xml:space="preserve"> ≥ 1 mm &amp; &lt; 10 mm</t>
    </r>
  </si>
  <si>
    <r>
      <t xml:space="preserve">&lt;-----Used in </t>
    </r>
    <r>
      <rPr>
        <b/>
        <sz val="11"/>
        <color rgb="FF00B050"/>
        <rFont val="Calibri"/>
        <family val="2"/>
        <scheme val="minor"/>
      </rPr>
      <t>GREEN TAB</t>
    </r>
    <r>
      <rPr>
        <sz val="11"/>
        <rFont val="Calibri"/>
        <family val="2"/>
        <scheme val="minor"/>
      </rPr>
      <t xml:space="preserve"> ≥ 10 mm &amp; &lt; 25 mm</t>
    </r>
  </si>
  <si>
    <r>
      <t xml:space="preserve">&lt;-----Used in </t>
    </r>
    <r>
      <rPr>
        <b/>
        <sz val="11"/>
        <color rgb="FF00B050"/>
        <rFont val="Calibri"/>
        <family val="2"/>
        <scheme val="minor"/>
      </rPr>
      <t xml:space="preserve">GREEN TAB ≥ 25 mm </t>
    </r>
  </si>
  <si>
    <t xml:space="preserve">Percentage Work Days Lost  </t>
  </si>
  <si>
    <t>Hot Weather (Average days over 37 degrees celcius)            Lose</t>
  </si>
  <si>
    <t xml:space="preserve">Wind loads are dependent on crane types, </t>
  </si>
  <si>
    <t xml:space="preserve">mobile cranes have a significantly lower permissible </t>
  </si>
  <si>
    <t xml:space="preserve">wind speed than tower cranes generally </t>
  </si>
  <si>
    <t>Forecast Delay Allowances</t>
  </si>
  <si>
    <t>Custom</t>
  </si>
  <si>
    <t>Exposure</t>
  </si>
  <si>
    <t>Level</t>
  </si>
  <si>
    <t>Rain Exposure Rating &gt;</t>
  </si>
  <si>
    <t>Rain Exposure</t>
  </si>
  <si>
    <t>Low &gt;</t>
  </si>
  <si>
    <t>&gt;High</t>
  </si>
  <si>
    <t>Low &lt;</t>
  </si>
  <si>
    <t>&lt;High</t>
  </si>
  <si>
    <t>Editable Threshholds for WIND Colour Scale Indicators</t>
  </si>
  <si>
    <t>Editable Threshholds for RAIN Colour Scale Indicators</t>
  </si>
  <si>
    <r>
      <t xml:space="preserve">Editable Threshholds for </t>
    </r>
    <r>
      <rPr>
        <b/>
        <sz val="11"/>
        <color rgb="FFFF0000"/>
        <rFont val="Calibri"/>
        <family val="2"/>
        <scheme val="minor"/>
      </rPr>
      <t xml:space="preserve">HEAT </t>
    </r>
    <r>
      <rPr>
        <b/>
        <sz val="11"/>
        <rFont val="Calibri"/>
        <family val="2"/>
        <scheme val="minor"/>
      </rPr>
      <t>Colour Scale Indicators</t>
    </r>
  </si>
  <si>
    <r>
      <t xml:space="preserve">Editable Threshholds for </t>
    </r>
    <r>
      <rPr>
        <b/>
        <sz val="11"/>
        <color rgb="FF0070C0"/>
        <rFont val="Calibri"/>
        <family val="2"/>
        <scheme val="minor"/>
      </rPr>
      <t>COLD</t>
    </r>
    <r>
      <rPr>
        <b/>
        <sz val="11"/>
        <rFont val="Calibri"/>
        <family val="2"/>
        <scheme val="minor"/>
      </rPr>
      <t xml:space="preserve"> Colour Scale Indicators</t>
    </r>
  </si>
  <si>
    <t>&gt;  Med  &gt;</t>
  </si>
  <si>
    <t>&lt;  Med  &lt;</t>
  </si>
  <si>
    <t>4 colour scales can be edited in Columns C &amp; E</t>
  </si>
  <si>
    <t xml:space="preserve">The Thresholds for Low/Med/High ratings in the </t>
  </si>
  <si>
    <r>
      <rPr>
        <b/>
        <sz val="11"/>
        <color rgb="FFFF0000"/>
        <rFont val="Calibri"/>
        <family val="2"/>
        <scheme val="minor"/>
      </rPr>
      <t xml:space="preserve">Red TAB </t>
    </r>
    <r>
      <rPr>
        <b/>
        <sz val="11"/>
        <rFont val="Calibri"/>
        <family val="2"/>
        <scheme val="minor"/>
      </rPr>
      <t>rows 32:35</t>
    </r>
  </si>
  <si>
    <t>HoursPerDay:Ratio</t>
  </si>
  <si>
    <t>WorkdaysPerYear:Ratio</t>
  </si>
  <si>
    <t>Note - Both ratios in orange boxes are used in the calculation of time lost</t>
  </si>
  <si>
    <r>
      <rPr>
        <b/>
        <sz val="11"/>
        <color theme="1"/>
        <rFont val="Calibri"/>
        <family val="2"/>
        <scheme val="minor"/>
      </rPr>
      <t xml:space="preserve">Rows 2 to 27 (Section A) </t>
    </r>
    <r>
      <rPr>
        <sz val="11"/>
        <color theme="1"/>
        <rFont val="Calibri"/>
        <family val="2"/>
        <scheme val="minor"/>
      </rPr>
      <t>shows Typical Non Work Days for various Australian States  &amp; Territories. These are for reference.
For other regions please refer to Google and local calendars</t>
    </r>
  </si>
  <si>
    <t>WorkDaysperYear</t>
  </si>
  <si>
    <t>WorkDays</t>
  </si>
  <si>
    <t>TotalDays</t>
  </si>
  <si>
    <t>Client</t>
  </si>
  <si>
    <t>Subbie</t>
  </si>
  <si>
    <t>IR</t>
  </si>
  <si>
    <t>Click here to view Heat graph</t>
  </si>
  <si>
    <t>Click here to view Cold Graph</t>
  </si>
  <si>
    <t>Click here to view Rainfall Graph</t>
  </si>
  <si>
    <t>Click here to view Wind Graph</t>
  </si>
  <si>
    <t>RAIN EXPOSURE 1 : Bulk + Inground Works</t>
  </si>
  <si>
    <t>RAIN EXPOSURE 2 : Foundations                 .</t>
  </si>
  <si>
    <t>RAIN EXPOSURE 3 : Structure &amp; Envelope  .</t>
  </si>
  <si>
    <t>RAIN EXPOSURE 4 : Fitout &amp; Finishes         .</t>
  </si>
  <si>
    <t>RAIN EXPOSURE 5 : Custom Rain Impacts  .</t>
  </si>
  <si>
    <t>Ratio:Work/MonthDays</t>
  </si>
  <si>
    <t xml:space="preserve">Mean daily solar exposure (MJ/(m*m)) for years 1990 to 2018 </t>
  </si>
  <si>
    <r>
      <t xml:space="preserve">In cells </t>
    </r>
    <r>
      <rPr>
        <b/>
        <sz val="14"/>
        <rFont val="Calibri"/>
        <family val="2"/>
        <scheme val="minor"/>
      </rPr>
      <t xml:space="preserve">H7 to S12 </t>
    </r>
    <r>
      <rPr>
        <sz val="14"/>
        <color theme="1"/>
        <rFont val="Calibri"/>
        <family val="2"/>
        <scheme val="minor"/>
      </rPr>
      <t>manually populate Wind + other potential delays based on Climate stats and other data. The</t>
    </r>
    <r>
      <rPr>
        <sz val="14"/>
        <color rgb="FFFFFF00"/>
        <rFont val="Calibri"/>
        <family val="2"/>
        <scheme val="minor"/>
      </rPr>
      <t xml:space="preserve"> Climate TAB</t>
    </r>
    <r>
      <rPr>
        <sz val="14"/>
        <color theme="1"/>
        <rFont val="Calibri"/>
        <family val="2"/>
        <scheme val="minor"/>
      </rPr>
      <t xml:space="preserve"> has a graph showing Mean 9am and 3pm wind speeds (for reference).
</t>
    </r>
    <r>
      <rPr>
        <b/>
        <sz val="14"/>
        <color theme="1"/>
        <rFont val="Calibri"/>
        <family val="2"/>
        <scheme val="minor"/>
      </rPr>
      <t>Note</t>
    </r>
    <r>
      <rPr>
        <sz val="14"/>
        <color theme="1"/>
        <rFont val="Calibri"/>
        <family val="2"/>
        <scheme val="minor"/>
      </rPr>
      <t xml:space="preserve"> - These numbers are </t>
    </r>
    <r>
      <rPr>
        <b/>
        <sz val="14"/>
        <color theme="1"/>
        <rFont val="Calibri"/>
        <family val="2"/>
        <scheme val="minor"/>
      </rPr>
      <t>NOT</t>
    </r>
    <r>
      <rPr>
        <sz val="14"/>
        <color theme="1"/>
        <rFont val="Calibri"/>
        <family val="2"/>
        <scheme val="minor"/>
      </rPr>
      <t xml:space="preserve"> factored below to account for WorkHours/Day or WorkDays/Month - so numbers entered here will carry forward to the </t>
    </r>
    <r>
      <rPr>
        <b/>
        <sz val="14"/>
        <color rgb="FFFF0000"/>
        <rFont val="Calibri"/>
        <family val="2"/>
        <scheme val="minor"/>
      </rPr>
      <t>Red TAB</t>
    </r>
    <r>
      <rPr>
        <sz val="14"/>
        <color theme="1"/>
        <rFont val="Calibri"/>
        <family val="2"/>
        <scheme val="minor"/>
      </rPr>
      <t xml:space="preserve"> unchanged</t>
    </r>
  </si>
  <si>
    <t>http://www.bom.gov.au/climate/data/index.shtml?bookmark=200</t>
  </si>
  <si>
    <t xml:space="preserve">1. CLICK THE LINK TO THE LEFT TO ACCESS THE BoM Website; 2. Select the Location and pick the nearest BoM Station;  </t>
  </si>
  <si>
    <t xml:space="preserve">3. Get Data (Opens in new window); 4. Download data (csv) file of statistics; 5. Open the csv file in eXcel; </t>
  </si>
  <si>
    <t>Note : The Standard Rain factors above are editable to account for specific ground conditions, or specific project issues. However the reasons for using non-standard factors MUST be discussed and agreed with Bid Leaders or Project Manager and documeted in the Basis of Schedule</t>
  </si>
  <si>
    <t>Gross Work Days
(ie Cal Days - Hols, RDOs, NWDs etc)</t>
  </si>
  <si>
    <t>Nett  Work Days
(ie Gross Work Days - Monthly Delay Allowance)</t>
  </si>
  <si>
    <r>
      <rPr>
        <b/>
        <sz val="14"/>
        <color theme="1"/>
        <rFont val="Calibri"/>
        <family val="2"/>
        <scheme val="minor"/>
      </rPr>
      <t>Rows 31 to 65</t>
    </r>
    <r>
      <rPr>
        <sz val="14"/>
        <color theme="1"/>
        <rFont val="Calibri"/>
        <family val="2"/>
        <scheme val="minor"/>
      </rPr>
      <t xml:space="preserve"> calculate the monthly impact of each Rain Exposure factor</t>
    </r>
  </si>
  <si>
    <r>
      <rPr>
        <b/>
        <sz val="14"/>
        <color theme="1"/>
        <rFont val="Calibri"/>
        <family val="2"/>
        <scheme val="minor"/>
      </rPr>
      <t xml:space="preserve">Row 27 </t>
    </r>
    <r>
      <rPr>
        <sz val="14"/>
        <color theme="1"/>
        <rFont val="Calibri"/>
        <family val="2"/>
        <scheme val="minor"/>
      </rPr>
      <t xml:space="preserve">auto populates from the </t>
    </r>
    <r>
      <rPr>
        <b/>
        <sz val="14"/>
        <color rgb="FFFFC000"/>
        <rFont val="Calibri"/>
        <family val="2"/>
        <scheme val="minor"/>
      </rPr>
      <t xml:space="preserve">Orange TAB </t>
    </r>
    <r>
      <rPr>
        <sz val="14"/>
        <rFont val="Calibri"/>
        <family val="2"/>
        <scheme val="minor"/>
      </rPr>
      <t xml:space="preserve">and is used as a lookup table in the </t>
    </r>
    <r>
      <rPr>
        <b/>
        <sz val="14"/>
        <color rgb="FFFF0000"/>
        <rFont val="Calibri"/>
        <family val="2"/>
        <scheme val="minor"/>
      </rPr>
      <t xml:space="preserve">Red TAB. 
</t>
    </r>
    <r>
      <rPr>
        <sz val="14"/>
        <rFont val="Calibri"/>
        <family val="2"/>
        <scheme val="minor"/>
      </rPr>
      <t>These rows show number of working days each month.
Row 3 shows the %age ratio of WorkDays/DaysperMonth</t>
    </r>
  </si>
  <si>
    <t>These numbers are factored for both WorkHours/Day and WorkDays/Month</t>
  </si>
  <si>
    <t>These numbers copy down to Rows 68 to 73</t>
  </si>
  <si>
    <r>
      <t xml:space="preserve">EXPOSURE 5
CUSTOM RAIN IMPACTS
</t>
    </r>
    <r>
      <rPr>
        <b/>
        <sz val="11"/>
        <color rgb="FFFF0000"/>
        <rFont val="Calibri"/>
        <family val="2"/>
        <scheme val="minor"/>
      </rPr>
      <t>Customise as necessary</t>
    </r>
  </si>
  <si>
    <t>Rain risk</t>
  </si>
  <si>
    <t>Heat risk</t>
  </si>
  <si>
    <t>Cold / Frost risk</t>
  </si>
  <si>
    <t>Wind risk</t>
  </si>
  <si>
    <t>These ratios are used to multiply the Climate</t>
  </si>
  <si>
    <t>data to calculate potential delays</t>
  </si>
  <si>
    <r>
      <t xml:space="preserve">These numbers populate the </t>
    </r>
    <r>
      <rPr>
        <b/>
        <sz val="11"/>
        <color rgb="FF00B050"/>
        <rFont val="Calibri"/>
        <family val="2"/>
        <scheme val="minor"/>
      </rPr>
      <t xml:space="preserve">GREEN TAB </t>
    </r>
    <r>
      <rPr>
        <sz val="11"/>
        <rFont val="Calibri"/>
        <family val="2"/>
        <scheme val="minor"/>
      </rPr>
      <t>row 27</t>
    </r>
  </si>
  <si>
    <t>6. Highlight all data (A1:end) and Copy (Ctrl C); 7. PasteSpecialValues into Cell A5 below. See notes in CLIMATE TAB re Wind data</t>
  </si>
  <si>
    <r>
      <t xml:space="preserve">DOWNLOAD BOM csv file &amp; COPY+PASTE (all data) INTO CELL A5 using 'right click' :PasteSpecialValues to maintain formatting below. This data populates the </t>
    </r>
    <r>
      <rPr>
        <b/>
        <sz val="18"/>
        <color rgb="FFFFFF00"/>
        <rFont val="Calibri"/>
        <family val="2"/>
        <scheme val="minor"/>
      </rPr>
      <t>Yellow 'Climate' Tab</t>
    </r>
  </si>
  <si>
    <t xml:space="preserve">Mean daily ground minimum temperature Degrees C for years null to null </t>
  </si>
  <si>
    <t xml:space="preserve">Lowest ground temperature Degrees C for years null to null </t>
  </si>
  <si>
    <t xml:space="preserve">Date of Lowest ground temperature  for years null to null </t>
  </si>
  <si>
    <t xml:space="preserve">Mean number of days ground min. temp. &lt;= -1 Degrees C for years null to null </t>
  </si>
  <si>
    <t xml:space="preserve">Mean daily sunshine (hours) for years null to null </t>
  </si>
  <si>
    <t xml:space="preserve">Mean daily evaporation (mm) for years null to null </t>
  </si>
  <si>
    <t>Mobile cranes not able to lift for Wind Gusts &gt; 36kph</t>
  </si>
  <si>
    <t>Last Record: 2018</t>
  </si>
  <si>
    <t>Gross %age Weather Impact</t>
  </si>
  <si>
    <t>Net %age Weather Impact</t>
  </si>
  <si>
    <t>Monthly Climate Statistics for 'MOORABBIN AIRPORT' [086077]</t>
  </si>
  <si>
    <t>Created on [ 04 Apr 2018 14:44:16 GMT+00:00]</t>
  </si>
  <si>
    <t>086077 MOORABBIN AIRPORT</t>
  </si>
  <si>
    <t>Commenced: 1950</t>
  </si>
  <si>
    <t>Latitude:   37.98 Degrees South</t>
  </si>
  <si>
    <t>Longitude:  145.10 Degrees East</t>
  </si>
  <si>
    <t>Elevation:      12 m</t>
  </si>
  <si>
    <t>State: VIC</t>
  </si>
  <si>
    <t xml:space="preserve">Mean maximum temperature (Degrees C) for years 1971 to 2018 </t>
  </si>
  <si>
    <t xml:space="preserve">Highest temperature (Degrees C) for years 1971 to 2018 </t>
  </si>
  <si>
    <t xml:space="preserve">Date of Highest temperature for years 1971 to 2018 </t>
  </si>
  <si>
    <t xml:space="preserve">Lowest maximum temperature (Degrees C) for years 1971 to 2018 </t>
  </si>
  <si>
    <t xml:space="preserve">Date of Lowest maximum temperature for years 1971 to 2018 </t>
  </si>
  <si>
    <t xml:space="preserve">Decile 1 maximum temperature (Degrees C) for years 1971 to 2018 </t>
  </si>
  <si>
    <t xml:space="preserve">Decile 9 maximum temperature (Degrees C) for years 1971 to 2018 </t>
  </si>
  <si>
    <t xml:space="preserve">Mean number of days &gt;= 30 Degrees C for years 1971 to 2018 </t>
  </si>
  <si>
    <t xml:space="preserve">Mean number of days &gt;= 35 Degrees C for years 1971 to 2018 </t>
  </si>
  <si>
    <t xml:space="preserve">Mean number of days &gt;= 40 Degrees C for years 1971 to 2018 </t>
  </si>
  <si>
    <t xml:space="preserve">Mean minimum temperature (Degrees C) for years 1971 to 2018 </t>
  </si>
  <si>
    <t xml:space="preserve">Lowest temperature (Degrees C) for years 1971 to 2018 </t>
  </si>
  <si>
    <t xml:space="preserve">Date of Lowest temperature for years 1971 to 2018 </t>
  </si>
  <si>
    <t xml:space="preserve">Highest minimum temperature (Degrees C) for years 1971 to 2018 </t>
  </si>
  <si>
    <t xml:space="preserve">Date of Highest minimum temperature for years 1971 to 2018 </t>
  </si>
  <si>
    <t xml:space="preserve">Decile 1 minimum temperature (Degrees C) for years 1971 to 2018 </t>
  </si>
  <si>
    <t xml:space="preserve">Decile 9 minimum temperature (Degrees C) for years 1971 to 2018 </t>
  </si>
  <si>
    <t xml:space="preserve">Mean number of days &lt;= 2 Degrees C for years 1971 to 2018 </t>
  </si>
  <si>
    <t xml:space="preserve">Mean number of days &lt;= 0 Degrees C for years 1971 to 2018 </t>
  </si>
  <si>
    <t xml:space="preserve">Mean rainfall (mm) for years 1950 to 2018 </t>
  </si>
  <si>
    <t xml:space="preserve">Highest rainfall (mm) for years 1950 to 2018 </t>
  </si>
  <si>
    <t xml:space="preserve">Date of Highest rainfall for years 1950 to 2018 </t>
  </si>
  <si>
    <t xml:space="preserve">Lowest rainfall (mm) for years 1950 to 2018 </t>
  </si>
  <si>
    <t xml:space="preserve">Date of Lowest rainfall for years 1950 to 2018 </t>
  </si>
  <si>
    <t xml:space="preserve">Decile 1 monthly rainfall (mm) for years 1950 to 2018 </t>
  </si>
  <si>
    <t xml:space="preserve">Decile 5 (median) monthly rainfall (mm) for years 1950 to 2018 </t>
  </si>
  <si>
    <t xml:space="preserve">Decile 9 monthly rainfall (mm) for years 1950 to 2018 </t>
  </si>
  <si>
    <t xml:space="preserve">Highest daily rainfall (mm) for years 1950 to 2018 </t>
  </si>
  <si>
    <t xml:space="preserve">Date of Highest daily rainfall for years 1950 to 2018 </t>
  </si>
  <si>
    <t xml:space="preserve">Mean number of days of rain for years 1950 to 2018 </t>
  </si>
  <si>
    <t xml:space="preserve">Mean number of days of rain &gt;= 1 mm for years 1950 to 2018 </t>
  </si>
  <si>
    <t xml:space="preserve">Mean number of days of rain &gt;= 10 mm for years 1950 to 2018 </t>
  </si>
  <si>
    <t xml:space="preserve">Mean number of days of rain &gt;= 25 mm for years 1950 to 2018 </t>
  </si>
  <si>
    <t xml:space="preserve">Mean daily wind run (km) for years 2002 to 2018 </t>
  </si>
  <si>
    <t xml:space="preserve">Maximum wind gust speed (km/h) for years 1972 to 2018 </t>
  </si>
  <si>
    <t xml:space="preserve">Date of Maximum wind gust speed for years 1972 to 2018 </t>
  </si>
  <si>
    <t xml:space="preserve">Mean number of clear days for years 1971 to 2010 </t>
  </si>
  <si>
    <t xml:space="preserve">Mean number of cloudy days for years 1971 to 2010 </t>
  </si>
  <si>
    <t xml:space="preserve">Mean 9am temperature (Degrees C) for years 1971 to 2010 </t>
  </si>
  <si>
    <t xml:space="preserve">Mean 9am wet bulb temperature (Degrees C) for years 1971 to 2010 </t>
  </si>
  <si>
    <t xml:space="preserve">Mean 9am dew point temperature (Degrees C) for years 1971 to 2010 </t>
  </si>
  <si>
    <t xml:space="preserve">Mean 9am relative humidity (%) for years 1971 to 2010 </t>
  </si>
  <si>
    <t xml:space="preserve">Mean 9am cloud cover (okas) for years 1971 to 2010 </t>
  </si>
  <si>
    <t xml:space="preserve">Mean 9am wind speed (km/h) for years 1971 to 2010 </t>
  </si>
  <si>
    <t xml:space="preserve">Mean 3pm temperature (Degrees C) for years 1971 to 2010 </t>
  </si>
  <si>
    <t xml:space="preserve">Mean 3pm wet bulb temperature (Degrees C) for years 1971 to 2010 </t>
  </si>
  <si>
    <t xml:space="preserve">Mean 3pm dew point temperature (Degrees C) for years 1971 to 2010 </t>
  </si>
  <si>
    <t xml:space="preserve">Mean 3pm relative humidity (%) for years 1971 to 2010 </t>
  </si>
  <si>
    <t xml:space="preserve">Mean 3pm cloud cover (oktas) for years 1971 to 2010 </t>
  </si>
  <si>
    <t xml:space="preserve">Mean 3pm wind speed (km/h) for years 1971 to 2010 </t>
  </si>
  <si>
    <t>Result</t>
  </si>
  <si>
    <t>Month</t>
  </si>
  <si>
    <t>Ratio</t>
  </si>
  <si>
    <t>Calc'd by</t>
  </si>
  <si>
    <t>Factor</t>
  </si>
  <si>
    <t>/month</t>
  </si>
  <si>
    <t>Hrs/Day</t>
  </si>
  <si>
    <t>Spreadsheet</t>
  </si>
  <si>
    <t>Total number of rain days</t>
  </si>
  <si>
    <t>a)</t>
  </si>
  <si>
    <t>AxBxCxD</t>
  </si>
  <si>
    <t>b)</t>
  </si>
  <si>
    <t>c)</t>
  </si>
  <si>
    <t>d)</t>
  </si>
  <si>
    <t>For this example :-</t>
  </si>
  <si>
    <t>In an average November we would get 6.5 days of rain ≥ 1 mm and &lt; 10 mm</t>
  </si>
  <si>
    <t>but we only work 24 days of the total 30 days in November (80%)</t>
  </si>
  <si>
    <t>So on average we would expect to be impacted 80% * 6.5 days</t>
  </si>
  <si>
    <t>days</t>
  </si>
  <si>
    <t>In this example we only work 10 hr weekdays and 5 hrs Saturday</t>
  </si>
  <si>
    <t>Sundays have already been excluded in line 15</t>
  </si>
  <si>
    <t>And potential losses would be</t>
  </si>
  <si>
    <t>This calculation assumes any rain which falls outside our work hours</t>
  </si>
  <si>
    <t>still affects us the same as if it rains the whole work day</t>
  </si>
  <si>
    <t>Potentially this is a conservative assumption.</t>
  </si>
  <si>
    <t>Sample</t>
  </si>
  <si>
    <t>Assumed</t>
  </si>
  <si>
    <t>IWA Rev4</t>
  </si>
  <si>
    <t>Bills Formula</t>
  </si>
  <si>
    <r>
      <t xml:space="preserve">And for each days rain of this intensity on average we lose 1.5 days </t>
    </r>
    <r>
      <rPr>
        <b/>
        <sz val="11"/>
        <color rgb="FF0070C0"/>
        <rFont val="Calibri"/>
        <family val="2"/>
        <scheme val="minor"/>
      </rPr>
      <t>(150%)</t>
    </r>
    <r>
      <rPr>
        <sz val="11"/>
        <color theme="1"/>
        <rFont val="Calibri"/>
        <family val="2"/>
        <scheme val="minor"/>
      </rPr>
      <t xml:space="preserve"> i.e.</t>
    </r>
  </si>
  <si>
    <r>
      <rPr>
        <sz val="11"/>
        <color rgb="FF0070C0"/>
        <rFont val="Calibri"/>
        <family val="2"/>
        <scheme val="minor"/>
      </rPr>
      <t xml:space="preserve">Factor </t>
    </r>
    <r>
      <rPr>
        <sz val="11"/>
        <color theme="1"/>
        <rFont val="Calibri"/>
        <family val="2"/>
        <scheme val="minor"/>
      </rPr>
      <t xml:space="preserve">x </t>
    </r>
    <r>
      <rPr>
        <sz val="11"/>
        <color rgb="FF7030A0"/>
        <rFont val="Calibri"/>
        <family val="2"/>
        <scheme val="minor"/>
      </rPr>
      <t xml:space="preserve">(RainDaysPerMth/CalDaysPerMth) </t>
    </r>
    <r>
      <rPr>
        <sz val="11"/>
        <color theme="1"/>
        <rFont val="Calibri"/>
        <family val="2"/>
        <scheme val="minor"/>
      </rPr>
      <t>x</t>
    </r>
    <r>
      <rPr>
        <sz val="11"/>
        <color rgb="FFFF0000"/>
        <rFont val="Calibri"/>
        <family val="2"/>
        <scheme val="minor"/>
      </rPr>
      <t xml:space="preserve"> (WorkHrs/24)</t>
    </r>
    <r>
      <rPr>
        <sz val="11"/>
        <color theme="1"/>
        <rFont val="Calibri"/>
        <family val="2"/>
        <scheme val="minor"/>
      </rPr>
      <t xml:space="preserve"> x </t>
    </r>
    <r>
      <rPr>
        <sz val="11"/>
        <color rgb="FFFFC000"/>
        <rFont val="Calibri"/>
        <family val="2"/>
        <scheme val="minor"/>
      </rPr>
      <t>(WorkDaysPerMonth)</t>
    </r>
  </si>
  <si>
    <r>
      <rPr>
        <sz val="11"/>
        <color rgb="FF0070C0"/>
        <rFont val="Calibri"/>
        <family val="2"/>
        <scheme val="minor"/>
      </rPr>
      <t>1.5</t>
    </r>
    <r>
      <rPr>
        <sz val="11"/>
        <color theme="1"/>
        <rFont val="Calibri"/>
        <family val="2"/>
        <scheme val="minor"/>
      </rPr>
      <t xml:space="preserve"> x </t>
    </r>
    <r>
      <rPr>
        <sz val="11"/>
        <color rgb="FF7030A0"/>
        <rFont val="Calibri"/>
        <family val="2"/>
        <scheme val="minor"/>
      </rPr>
      <t>(6.5 /30)</t>
    </r>
    <r>
      <rPr>
        <sz val="11"/>
        <color theme="1"/>
        <rFont val="Calibri"/>
        <family val="2"/>
        <scheme val="minor"/>
      </rPr>
      <t xml:space="preserve"> x </t>
    </r>
    <r>
      <rPr>
        <sz val="11"/>
        <color rgb="FFFF0000"/>
        <rFont val="Calibri"/>
        <family val="2"/>
        <scheme val="minor"/>
      </rPr>
      <t>(55/6*24)</t>
    </r>
    <r>
      <rPr>
        <sz val="11"/>
        <color theme="1"/>
        <rFont val="Calibri"/>
        <family val="2"/>
        <scheme val="minor"/>
      </rPr>
      <t xml:space="preserve"> x </t>
    </r>
    <r>
      <rPr>
        <sz val="11"/>
        <color rgb="FFFFC000"/>
        <rFont val="Calibri"/>
        <family val="2"/>
        <scheme val="minor"/>
      </rPr>
      <t>(24)</t>
    </r>
  </si>
  <si>
    <t>Check OK</t>
  </si>
  <si>
    <t>EXPOSURE 4 
BUILDING Fitout &amp; Finishes
(sheltered)</t>
  </si>
  <si>
    <t xml:space="preserve">EXPOSURE 1 CIVIL Bulk Earthworks &amp; Inground Works below -0.75m
</t>
  </si>
  <si>
    <t xml:space="preserve">EXPOSURE 3 
BUILDING Structure &amp; Envelope
</t>
  </si>
  <si>
    <t>EXAMPLE TO CHECK FORMULAE</t>
  </si>
  <si>
    <t>Sample BoM Data</t>
  </si>
  <si>
    <t xml:space="preserve">So correct ratio should be : 55 hours / (6 x 24 hrs) </t>
  </si>
  <si>
    <r>
      <rPr>
        <b/>
        <sz val="10"/>
        <color rgb="FFFF0000"/>
        <rFont val="Calibri"/>
        <family val="2"/>
        <scheme val="minor"/>
      </rPr>
      <t>Manual Input :</t>
    </r>
    <r>
      <rPr>
        <sz val="10"/>
        <color theme="1"/>
        <rFont val="Calibri"/>
        <family val="2"/>
        <scheme val="minor"/>
      </rPr>
      <t xml:space="preserve">         Wind (Assumption)</t>
    </r>
  </si>
  <si>
    <r>
      <rPr>
        <b/>
        <sz val="10"/>
        <color rgb="FFFF0000"/>
        <rFont val="Calibri"/>
        <family val="2"/>
        <scheme val="minor"/>
      </rPr>
      <t xml:space="preserve">Manual Input : </t>
    </r>
    <r>
      <rPr>
        <sz val="10"/>
        <color theme="1"/>
        <rFont val="Calibri"/>
        <family val="2"/>
        <scheme val="minor"/>
      </rPr>
      <t>Client / Authority Delays</t>
    </r>
  </si>
  <si>
    <r>
      <rPr>
        <b/>
        <sz val="10"/>
        <color rgb="FFFF0000"/>
        <rFont val="Calibri"/>
        <family val="2"/>
        <scheme val="minor"/>
      </rPr>
      <t xml:space="preserve">Manual Input : </t>
    </r>
    <r>
      <rPr>
        <sz val="10"/>
        <color theme="1"/>
        <rFont val="Calibri"/>
        <family val="2"/>
        <scheme val="minor"/>
      </rPr>
      <t xml:space="preserve">     Subcontractor Delays</t>
    </r>
  </si>
  <si>
    <r>
      <rPr>
        <b/>
        <sz val="10"/>
        <color rgb="FFFF0000"/>
        <rFont val="Calibri"/>
        <family val="2"/>
        <scheme val="minor"/>
      </rPr>
      <t>Manual Input :</t>
    </r>
    <r>
      <rPr>
        <sz val="10"/>
        <color theme="1"/>
        <rFont val="Calibri"/>
        <family val="2"/>
        <scheme val="minor"/>
      </rPr>
      <t xml:space="preserve">   Industrial (Assumption)</t>
    </r>
  </si>
  <si>
    <r>
      <rPr>
        <b/>
        <sz val="10"/>
        <color rgb="FFFF0000"/>
        <rFont val="Calibri"/>
        <family val="2"/>
        <scheme val="minor"/>
      </rPr>
      <t xml:space="preserve">Manual Input : </t>
    </r>
    <r>
      <rPr>
        <sz val="10"/>
        <color theme="1"/>
        <rFont val="Calibri"/>
        <family val="2"/>
        <scheme val="minor"/>
      </rPr>
      <t xml:space="preserve">                       Plant Delays</t>
    </r>
  </si>
  <si>
    <r>
      <rPr>
        <b/>
        <sz val="10"/>
        <color rgb="FFFF0000"/>
        <rFont val="Calibri"/>
        <family val="2"/>
        <scheme val="minor"/>
      </rPr>
      <t xml:space="preserve">Manual Input : </t>
    </r>
    <r>
      <rPr>
        <sz val="10"/>
        <color theme="1"/>
        <rFont val="Calibri"/>
        <family val="2"/>
        <scheme val="minor"/>
      </rPr>
      <t xml:space="preserve">                      Other Delays</t>
    </r>
  </si>
  <si>
    <r>
      <t xml:space="preserve">Populate the loss factors for Hot Day and Cold Day delays per month in cells </t>
    </r>
    <r>
      <rPr>
        <b/>
        <sz val="14"/>
        <rFont val="Calibri"/>
        <family val="2"/>
        <scheme val="minor"/>
      </rPr>
      <t>E5 &amp; E6</t>
    </r>
    <r>
      <rPr>
        <sz val="14"/>
        <color theme="1"/>
        <rFont val="Calibri"/>
        <family val="2"/>
        <scheme val="minor"/>
      </rPr>
      <t xml:space="preserve">. These rows use data from the </t>
    </r>
    <r>
      <rPr>
        <sz val="14"/>
        <color rgb="FFFFFF00"/>
        <rFont val="Calibri"/>
        <family val="2"/>
        <scheme val="minor"/>
      </rPr>
      <t>Climate TAB</t>
    </r>
    <r>
      <rPr>
        <sz val="14"/>
        <color theme="1"/>
        <rFont val="Calibri"/>
        <family val="2"/>
        <scheme val="minor"/>
      </rPr>
      <t xml:space="preserve"> to calc how many days per month we lose for extreme Hot or Cold days. These numbers are factored for how many days per month we will be working.</t>
    </r>
  </si>
  <si>
    <t>Cumulative Gross Work Days per Calendar Year</t>
  </si>
  <si>
    <r>
      <rPr>
        <b/>
        <sz val="14"/>
        <color theme="1"/>
        <rFont val="Calibri"/>
        <family val="2"/>
        <scheme val="minor"/>
      </rPr>
      <t xml:space="preserve">Rows 68 to 81 </t>
    </r>
    <r>
      <rPr>
        <sz val="14"/>
        <color theme="1"/>
        <rFont val="Calibri"/>
        <family val="2"/>
        <scheme val="minor"/>
      </rPr>
      <t xml:space="preserve">are used as a lookup table in the </t>
    </r>
    <r>
      <rPr>
        <b/>
        <sz val="14"/>
        <color rgb="FFFF0000"/>
        <rFont val="Calibri"/>
        <family val="2"/>
        <scheme val="minor"/>
      </rPr>
      <t>Red TAB</t>
    </r>
  </si>
  <si>
    <t>Mean number of days ≥ 32 °C</t>
  </si>
  <si>
    <t>on Rows 153, 173, 194 &amp; 211</t>
  </si>
  <si>
    <t xml:space="preserve">These ratings populate the </t>
  </si>
  <si>
    <t>RAIN SUMMARY TABLE</t>
  </si>
  <si>
    <t>Total Impacts of Daily Rainfall</t>
  </si>
  <si>
    <t>and reflect potential work day losses each month.</t>
  </si>
  <si>
    <t>Typical Standard Rain Factors</t>
  </si>
  <si>
    <t>Weather Analysis Impact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</si>
</sst>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C09]dd\-mmm\-yy;@"/>
    <numFmt numFmtId="166" formatCode="mmm"/>
    <numFmt numFmtId="167" formatCode="0.0"/>
    <numFmt numFmtId="168" formatCode="yyyy"/>
    <numFmt numFmtId="169" formatCode="0.0%"/>
    <numFmt numFmtId="170" formatCode="mmm\ yy"/>
    <numFmt numFmtId="171" formatCode="0\ &quot;C&quot;"/>
    <numFmt numFmtId="172" formatCode="0\ &quot;mm&quot;"/>
    <numFmt numFmtId="173" formatCode="0\ &quot;kph&quot;"/>
    <numFmt numFmtId="174" formatCode="0&quot; days&quot;"/>
    <numFmt numFmtId="175" formatCode="0.0&quot; days&quot;"/>
  </numFmts>
  <fonts count="63" x14ac:knownFonts="1">
    <font>
      <sz val="11"/>
      <color theme="1"/>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b/>
      <sz val="14"/>
      <color theme="1"/>
      <name val="Calibri"/>
      <family val="2"/>
      <scheme val="minor"/>
    </font>
    <font>
      <b/>
      <sz val="8"/>
      <color theme="1"/>
      <name val="Calibri"/>
      <family val="2"/>
      <scheme val="minor"/>
    </font>
    <font>
      <b/>
      <sz val="8"/>
      <color rgb="FFFF0000"/>
      <name val="Calibri"/>
      <family val="2"/>
      <scheme val="minor"/>
    </font>
    <font>
      <b/>
      <sz val="9"/>
      <color theme="1"/>
      <name val="Calibri"/>
      <family val="2"/>
      <scheme val="minor"/>
    </font>
    <font>
      <sz val="8"/>
      <color theme="1"/>
      <name val="Calibri"/>
      <family val="2"/>
      <scheme val="minor"/>
    </font>
    <font>
      <b/>
      <sz val="10"/>
      <color theme="1"/>
      <name val="Calibri"/>
      <family val="2"/>
      <scheme val="minor"/>
    </font>
    <font>
      <sz val="7"/>
      <name val="Calibri"/>
      <family val="2"/>
      <scheme val="minor"/>
    </font>
    <font>
      <sz val="10"/>
      <color theme="1"/>
      <name val="Calibri"/>
      <family val="2"/>
      <scheme val="minor"/>
    </font>
    <font>
      <sz val="9"/>
      <color theme="1"/>
      <name val="Calibri"/>
      <family val="2"/>
      <scheme val="minor"/>
    </font>
    <font>
      <sz val="11"/>
      <name val="Calibri"/>
      <family val="2"/>
      <scheme val="minor"/>
    </font>
    <font>
      <b/>
      <sz val="12.1"/>
      <name val="Arial"/>
      <family val="2"/>
    </font>
    <font>
      <b/>
      <sz val="9.9"/>
      <name val="Arial"/>
      <family val="2"/>
    </font>
    <font>
      <b/>
      <sz val="11"/>
      <name val="Arial"/>
      <family val="2"/>
    </font>
    <font>
      <sz val="11"/>
      <name val="Arial"/>
      <family val="2"/>
    </font>
    <font>
      <sz val="12.1"/>
      <name val="Arial"/>
      <family val="2"/>
    </font>
    <font>
      <sz val="11"/>
      <color theme="1"/>
      <name val="Calibri"/>
      <family val="2"/>
      <scheme val="minor"/>
    </font>
    <font>
      <sz val="11"/>
      <color theme="0"/>
      <name val="Calibri"/>
      <family val="2"/>
      <scheme val="minor"/>
    </font>
    <font>
      <b/>
      <sz val="18"/>
      <color theme="0"/>
      <name val="Calibri"/>
      <family val="2"/>
      <scheme val="minor"/>
    </font>
    <font>
      <b/>
      <sz val="14"/>
      <name val="Calibri"/>
      <family val="2"/>
      <scheme val="minor"/>
    </font>
    <font>
      <sz val="11"/>
      <name val="Calibri"/>
      <family val="2"/>
    </font>
    <font>
      <sz val="11"/>
      <color rgb="FF000000"/>
      <name val="Calibri"/>
      <family val="2"/>
    </font>
    <font>
      <b/>
      <u/>
      <sz val="10"/>
      <name val="Arial"/>
      <family val="2"/>
    </font>
    <font>
      <u/>
      <sz val="11"/>
      <color theme="10"/>
      <name val="Calibri"/>
      <family val="2"/>
      <scheme val="minor"/>
    </font>
    <font>
      <u/>
      <sz val="11"/>
      <color theme="0"/>
      <name val="Calibri"/>
      <family val="2"/>
      <scheme val="minor"/>
    </font>
    <font>
      <b/>
      <sz val="16"/>
      <color theme="0"/>
      <name val="Calibri"/>
      <family val="2"/>
      <scheme val="minor"/>
    </font>
    <font>
      <b/>
      <sz val="14"/>
      <color rgb="FFFF0000"/>
      <name val="Calibri"/>
      <family val="2"/>
      <scheme val="minor"/>
    </font>
    <font>
      <b/>
      <sz val="11"/>
      <color rgb="FFFF0000"/>
      <name val="Calibri"/>
      <family val="2"/>
      <scheme val="minor"/>
    </font>
    <font>
      <b/>
      <sz val="11"/>
      <name val="Calibri"/>
      <family val="2"/>
      <scheme val="minor"/>
    </font>
    <font>
      <b/>
      <sz val="11"/>
      <color rgb="FF00B050"/>
      <name val="Calibri"/>
      <family val="2"/>
      <scheme val="minor"/>
    </font>
    <font>
      <b/>
      <sz val="14"/>
      <color theme="0"/>
      <name val="Calibri"/>
      <family val="2"/>
      <scheme val="minor"/>
    </font>
    <font>
      <sz val="14"/>
      <color theme="1"/>
      <name val="Calibri"/>
      <family val="2"/>
      <scheme val="minor"/>
    </font>
    <font>
      <sz val="10"/>
      <color theme="0"/>
      <name val="Calibri"/>
      <family val="2"/>
      <scheme val="minor"/>
    </font>
    <font>
      <b/>
      <sz val="11"/>
      <color rgb="FF0070C0"/>
      <name val="Calibri"/>
      <family val="2"/>
      <scheme val="minor"/>
    </font>
    <font>
      <b/>
      <sz val="18"/>
      <color rgb="FFFFFF00"/>
      <name val="Calibri"/>
      <family val="2"/>
      <scheme val="minor"/>
    </font>
    <font>
      <b/>
      <sz val="14"/>
      <color rgb="FFFFC000"/>
      <name val="Calibri"/>
      <family val="2"/>
      <scheme val="minor"/>
    </font>
    <font>
      <sz val="14"/>
      <name val="Calibri"/>
      <family val="2"/>
      <scheme val="minor"/>
    </font>
    <font>
      <sz val="14"/>
      <color rgb="FFFF0000"/>
      <name val="Calibri"/>
      <family val="2"/>
      <scheme val="minor"/>
    </font>
    <font>
      <b/>
      <sz val="12"/>
      <color rgb="FFFF0000"/>
      <name val="Calibri"/>
      <family val="2"/>
      <scheme val="minor"/>
    </font>
    <font>
      <b/>
      <sz val="12"/>
      <color theme="1"/>
      <name val="Calibri"/>
      <family val="2"/>
      <scheme val="minor"/>
    </font>
    <font>
      <b/>
      <sz val="10"/>
      <name val="Calibri"/>
      <family val="2"/>
      <scheme val="minor"/>
    </font>
    <font>
      <sz val="12"/>
      <color theme="1"/>
      <name val="Calibri"/>
      <family val="2"/>
      <scheme val="minor"/>
    </font>
    <font>
      <sz val="14"/>
      <color rgb="FFFFFF00"/>
      <name val="Calibri"/>
      <family val="2"/>
      <scheme val="minor"/>
    </font>
    <font>
      <b/>
      <u/>
      <sz val="14"/>
      <color theme="0"/>
      <name val="Calibri"/>
      <family val="2"/>
      <scheme val="minor"/>
    </font>
    <font>
      <b/>
      <u/>
      <sz val="11"/>
      <name val="Arial"/>
      <family val="2"/>
    </font>
    <font>
      <b/>
      <sz val="14"/>
      <color theme="1"/>
      <name val="Arial"/>
      <family val="2"/>
    </font>
    <font>
      <sz val="14"/>
      <color theme="1"/>
      <name val="Arial"/>
      <family val="2"/>
    </font>
    <font>
      <b/>
      <u/>
      <sz val="14"/>
      <name val="Calibri"/>
      <family val="2"/>
      <scheme val="minor"/>
    </font>
    <font>
      <u/>
      <sz val="14"/>
      <color rgb="FFFFFF00"/>
      <name val="Calibri"/>
      <family val="2"/>
      <scheme val="minor"/>
    </font>
    <font>
      <sz val="8"/>
      <name val="Calibri"/>
      <family val="2"/>
      <scheme val="minor"/>
    </font>
    <font>
      <sz val="11"/>
      <color rgb="FFFF0000"/>
      <name val="Calibri"/>
      <family val="2"/>
      <scheme val="minor"/>
    </font>
    <font>
      <sz val="11"/>
      <color rgb="FF0070C0"/>
      <name val="Calibri"/>
      <family val="2"/>
      <scheme val="minor"/>
    </font>
    <font>
      <sz val="11"/>
      <color rgb="FF7030A0"/>
      <name val="Calibri"/>
      <family val="2"/>
      <scheme val="minor"/>
    </font>
    <font>
      <sz val="11"/>
      <color rgb="FFFFC000"/>
      <name val="Calibri"/>
      <family val="2"/>
      <scheme val="minor"/>
    </font>
    <font>
      <b/>
      <sz val="16"/>
      <color theme="1"/>
      <name val="Calibri"/>
      <family val="2"/>
      <scheme val="minor"/>
    </font>
    <font>
      <b/>
      <sz val="10"/>
      <color rgb="FFFF0000"/>
      <name val="Calibri"/>
      <family val="2"/>
      <scheme val="minor"/>
    </font>
    <font>
      <b/>
      <sz val="11"/>
      <name val="Calibri"/>
      <family val="2"/>
    </font>
    <font>
      <b/>
      <sz val="16"/>
      <name val="Calibri"/>
      <family val="2"/>
      <scheme val="minor"/>
    </font>
    <font>
      <sz val="16"/>
      <name val="Calibri"/>
      <family val="2"/>
      <scheme val="minor"/>
    </font>
    <font>
      <b/>
      <sz val="7"/>
      <color theme="1"/>
      <name val="Calibri"/>
      <family val="2"/>
      <scheme val="minor"/>
    </font>
  </fonts>
  <fills count="27">
    <fill>
      <patternFill patternType="none"/>
    </fill>
    <fill>
      <patternFill patternType="gray125"/>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rgb="FFFF0000"/>
        <bgColor indexed="64"/>
      </patternFill>
    </fill>
    <fill>
      <patternFill patternType="solid">
        <fgColor rgb="FFEAEBE6"/>
        <bgColor indexed="64"/>
      </patternFill>
    </fill>
    <fill>
      <patternFill patternType="solid">
        <fgColor rgb="FFFFFFFF"/>
        <bgColor indexed="64"/>
      </patternFill>
    </fill>
    <fill>
      <patternFill patternType="solid">
        <fgColor rgb="FFCCCC99"/>
        <bgColor indexed="64"/>
      </patternFill>
    </fill>
    <fill>
      <patternFill patternType="solid">
        <fgColor rgb="FFE5E5C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rgb="FF002060"/>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bgColor indexed="64"/>
      </patternFill>
    </fill>
    <fill>
      <patternFill patternType="solid">
        <fgColor rgb="FFFFFFCC"/>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9999"/>
        <bgColor indexed="64"/>
      </patternFill>
    </fill>
    <fill>
      <patternFill patternType="solid">
        <fgColor theme="4" tint="0.39997558519241921"/>
        <bgColor indexed="64"/>
      </patternFill>
    </fill>
  </fills>
  <borders count="10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auto="1"/>
      </right>
      <top style="thin">
        <color auto="1"/>
      </top>
      <bottom/>
      <diagonal/>
    </border>
    <border>
      <left/>
      <right/>
      <top style="thin">
        <color auto="1"/>
      </top>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thin">
        <color auto="1"/>
      </bottom>
      <diagonal/>
    </border>
    <border>
      <left/>
      <right style="thin">
        <color auto="1"/>
      </right>
      <top style="thin">
        <color auto="1"/>
      </top>
      <bottom style="medium">
        <color auto="1"/>
      </bottom>
      <diagonal/>
    </border>
    <border>
      <left style="medium">
        <color auto="1"/>
      </left>
      <right style="medium">
        <color auto="1"/>
      </right>
      <top/>
      <bottom/>
      <diagonal/>
    </border>
    <border>
      <left style="medium">
        <color rgb="FF999999"/>
      </left>
      <right/>
      <top style="medium">
        <color rgb="FFCCCC99"/>
      </top>
      <bottom style="medium">
        <color rgb="FFCCCC99"/>
      </bottom>
      <diagonal/>
    </border>
    <border>
      <left/>
      <right/>
      <top style="medium">
        <color rgb="FFCCCC99"/>
      </top>
      <bottom style="medium">
        <color rgb="FFCCCC99"/>
      </bottom>
      <diagonal/>
    </border>
    <border>
      <left style="medium">
        <color rgb="FFCCCC99"/>
      </left>
      <right style="medium">
        <color rgb="FFCCCC99"/>
      </right>
      <top style="medium">
        <color rgb="FFCCCC99"/>
      </top>
      <bottom/>
      <diagonal/>
    </border>
    <border>
      <left style="medium">
        <color rgb="FF999999"/>
      </left>
      <right style="medium">
        <color rgb="FFEAEAEA"/>
      </right>
      <top style="medium">
        <color rgb="FFCCCC99"/>
      </top>
      <bottom style="medium">
        <color rgb="FFCCCC99"/>
      </bottom>
      <diagonal/>
    </border>
    <border>
      <left style="medium">
        <color rgb="FFEAEAEA"/>
      </left>
      <right style="medium">
        <color rgb="FFEAEAEA"/>
      </right>
      <top style="medium">
        <color rgb="FFCCCC99"/>
      </top>
      <bottom style="medium">
        <color rgb="FFCCCC99"/>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thin">
        <color auto="1"/>
      </right>
      <top/>
      <bottom/>
      <diagonal/>
    </border>
    <border>
      <left style="medium">
        <color indexed="64"/>
      </left>
      <right style="medium">
        <color rgb="FF000000"/>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style="thin">
        <color auto="1"/>
      </left>
      <right style="thin">
        <color auto="1"/>
      </right>
      <top/>
      <bottom style="thin">
        <color auto="1"/>
      </bottom>
      <diagonal/>
    </border>
    <border>
      <left style="thin">
        <color auto="1"/>
      </left>
      <right/>
      <top/>
      <bottom style="medium">
        <color auto="1"/>
      </bottom>
      <diagonal/>
    </border>
    <border>
      <left style="thick">
        <color rgb="FFFF0000"/>
      </left>
      <right style="thick">
        <color rgb="FFFF0000"/>
      </right>
      <top style="thick">
        <color rgb="FFFF0000"/>
      </top>
      <bottom style="thick">
        <color rgb="FFFF0000"/>
      </bottom>
      <diagonal/>
    </border>
    <border>
      <left style="thick">
        <color rgb="FFFF0000"/>
      </left>
      <right style="thick">
        <color rgb="FFFF0000"/>
      </right>
      <top style="thick">
        <color rgb="FFFF0000"/>
      </top>
      <bottom/>
      <diagonal/>
    </border>
    <border>
      <left style="thick">
        <color rgb="FFFF0000"/>
      </left>
      <right style="thick">
        <color rgb="FFFF0000"/>
      </right>
      <top/>
      <bottom/>
      <diagonal/>
    </border>
    <border>
      <left style="thick">
        <color rgb="FFFF0000"/>
      </left>
      <right style="thick">
        <color rgb="FFFF0000"/>
      </right>
      <top/>
      <bottom style="thick">
        <color rgb="FFFF0000"/>
      </bottom>
      <diagonal/>
    </border>
    <border>
      <left/>
      <right style="thin">
        <color auto="1"/>
      </right>
      <top style="medium">
        <color auto="1"/>
      </top>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top style="thin">
        <color auto="1"/>
      </top>
      <bottom/>
      <diagonal/>
    </border>
    <border>
      <left style="thin">
        <color auto="1"/>
      </left>
      <right/>
      <top style="medium">
        <color auto="1"/>
      </top>
      <bottom/>
      <diagonal/>
    </border>
    <border>
      <left style="thin">
        <color auto="1"/>
      </left>
      <right style="medium">
        <color indexed="64"/>
      </right>
      <top/>
      <bottom style="thin">
        <color auto="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top/>
      <bottom/>
      <diagonal/>
    </border>
    <border>
      <left/>
      <right style="thin">
        <color indexed="64"/>
      </right>
      <top/>
      <bottom/>
      <diagonal/>
    </border>
    <border>
      <left style="medium">
        <color indexed="64"/>
      </left>
      <right/>
      <top/>
      <bottom style="medium">
        <color rgb="FF000000"/>
      </bottom>
      <diagonal/>
    </border>
    <border>
      <left/>
      <right/>
      <top/>
      <bottom style="medium">
        <color rgb="FF000000"/>
      </bottom>
      <diagonal/>
    </border>
    <border>
      <left style="medium">
        <color indexed="64"/>
      </left>
      <right style="thin">
        <color indexed="64"/>
      </right>
      <top/>
      <bottom style="medium">
        <color rgb="FF000000"/>
      </bottom>
      <diagonal/>
    </border>
    <border>
      <left style="thin">
        <color auto="1"/>
      </left>
      <right style="medium">
        <color indexed="64"/>
      </right>
      <top style="medium">
        <color indexed="64"/>
      </top>
      <bottom style="medium">
        <color indexed="64"/>
      </bottom>
      <diagonal/>
    </border>
    <border>
      <left style="medium">
        <color auto="1"/>
      </left>
      <right style="thin">
        <color auto="1"/>
      </right>
      <top/>
      <bottom style="medium">
        <color indexed="64"/>
      </bottom>
      <diagonal/>
    </border>
    <border>
      <left/>
      <right style="medium">
        <color auto="1"/>
      </right>
      <top style="medium">
        <color indexed="64"/>
      </top>
      <bottom style="thin">
        <color auto="1"/>
      </bottom>
      <diagonal/>
    </border>
    <border>
      <left style="thin">
        <color auto="1"/>
      </left>
      <right style="thin">
        <color auto="1"/>
      </right>
      <top/>
      <bottom style="medium">
        <color auto="1"/>
      </bottom>
      <diagonal/>
    </border>
    <border>
      <left style="medium">
        <color indexed="64"/>
      </left>
      <right style="medium">
        <color rgb="FF000000"/>
      </right>
      <top style="medium">
        <color rgb="FF000000"/>
      </top>
      <bottom style="medium">
        <color indexed="64"/>
      </bottom>
      <diagonal/>
    </border>
    <border>
      <left style="medium">
        <color rgb="FF000000"/>
      </left>
      <right style="medium">
        <color indexed="64"/>
      </right>
      <top style="medium">
        <color indexed="64"/>
      </top>
      <bottom style="medium">
        <color indexed="64"/>
      </bottom>
      <diagonal/>
    </border>
    <border>
      <left style="medium">
        <color auto="1"/>
      </left>
      <right style="thin">
        <color auto="1"/>
      </right>
      <top style="medium">
        <color auto="1"/>
      </top>
      <bottom/>
      <diagonal/>
    </border>
    <border>
      <left style="double">
        <color rgb="FFFF0000"/>
      </left>
      <right style="double">
        <color rgb="FFFF0000"/>
      </right>
      <top style="double">
        <color rgb="FFFF0000"/>
      </top>
      <bottom/>
      <diagonal/>
    </border>
    <border>
      <left style="double">
        <color rgb="FFFF0000"/>
      </left>
      <right style="double">
        <color rgb="FFFF0000"/>
      </right>
      <top/>
      <bottom style="double">
        <color rgb="FFFF0000"/>
      </bottom>
      <diagonal/>
    </border>
    <border>
      <left style="thin">
        <color indexed="64"/>
      </left>
      <right/>
      <top style="thin">
        <color indexed="64"/>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9" fontId="19" fillId="0" borderId="0" applyFont="0" applyFill="0" applyBorder="0" applyAlignment="0" applyProtection="0"/>
    <xf numFmtId="0" fontId="26" fillId="0" borderId="0" applyNumberFormat="0" applyFill="0" applyBorder="0" applyAlignment="0" applyProtection="0"/>
    <xf numFmtId="164" fontId="19" fillId="0" borderId="0" applyFont="0" applyFill="0" applyBorder="0" applyAlignment="0" applyProtection="0"/>
  </cellStyleXfs>
  <cellXfs count="570">
    <xf numFmtId="0" fontId="0" fillId="0" borderId="0" xfId="0"/>
    <xf numFmtId="0" fontId="0" fillId="0" borderId="4" xfId="0" applyBorder="1"/>
    <xf numFmtId="0" fontId="0" fillId="0" borderId="5" xfId="0" applyBorder="1"/>
    <xf numFmtId="0" fontId="8" fillId="0" borderId="19" xfId="0" applyFont="1" applyBorder="1" applyAlignment="1">
      <alignment horizontal="center"/>
    </xf>
    <xf numFmtId="0" fontId="8" fillId="0" borderId="20" xfId="0" applyFont="1" applyBorder="1" applyAlignment="1">
      <alignment horizontal="center"/>
    </xf>
    <xf numFmtId="0" fontId="8" fillId="0" borderId="23" xfId="0" applyFont="1" applyBorder="1" applyAlignment="1">
      <alignment wrapText="1"/>
    </xf>
    <xf numFmtId="0" fontId="8" fillId="0" borderId="28" xfId="0" applyFont="1" applyBorder="1" applyAlignment="1">
      <alignment wrapText="1"/>
    </xf>
    <xf numFmtId="165" fontId="8" fillId="0" borderId="36" xfId="0" applyNumberFormat="1" applyFont="1" applyBorder="1" applyAlignment="1">
      <alignment horizontal="center" wrapText="1"/>
    </xf>
    <xf numFmtId="0" fontId="8" fillId="0" borderId="35" xfId="0" applyFont="1" applyBorder="1" applyAlignment="1">
      <alignment wrapText="1"/>
    </xf>
    <xf numFmtId="165" fontId="8" fillId="0" borderId="39" xfId="0" applyNumberFormat="1" applyFont="1" applyBorder="1" applyAlignment="1">
      <alignment horizontal="center" wrapText="1"/>
    </xf>
    <xf numFmtId="165" fontId="8" fillId="0" borderId="38" xfId="0" applyNumberFormat="1" applyFont="1" applyBorder="1" applyAlignment="1">
      <alignment horizontal="center" wrapText="1"/>
    </xf>
    <xf numFmtId="0" fontId="9" fillId="0" borderId="9" xfId="0" applyFont="1" applyBorder="1" applyAlignment="1">
      <alignment horizontal="center" vertical="center"/>
    </xf>
    <xf numFmtId="0" fontId="0" fillId="0" borderId="6" xfId="0" applyBorder="1"/>
    <xf numFmtId="0" fontId="0" fillId="0" borderId="7" xfId="0" applyBorder="1"/>
    <xf numFmtId="0" fontId="0" fillId="0" borderId="7" xfId="0" applyBorder="1" applyAlignment="1">
      <alignment horizontal="center"/>
    </xf>
    <xf numFmtId="0" fontId="11" fillId="0" borderId="45" xfId="0" applyFont="1" applyBorder="1" applyAlignment="1">
      <alignment horizontal="center"/>
    </xf>
    <xf numFmtId="0" fontId="11" fillId="0" borderId="46" xfId="0" applyFont="1" applyBorder="1" applyAlignment="1">
      <alignment horizontal="center"/>
    </xf>
    <xf numFmtId="0" fontId="11" fillId="0" borderId="25" xfId="0" applyFont="1" applyBorder="1" applyAlignment="1">
      <alignment horizontal="center"/>
    </xf>
    <xf numFmtId="0" fontId="11" fillId="0" borderId="26" xfId="0" applyFont="1" applyBorder="1" applyAlignment="1">
      <alignment horizontal="center"/>
    </xf>
    <xf numFmtId="0" fontId="11" fillId="0" borderId="42" xfId="0" applyFont="1" applyBorder="1" applyAlignment="1">
      <alignment horizontal="center"/>
    </xf>
    <xf numFmtId="0" fontId="11" fillId="0" borderId="43" xfId="0" applyFont="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0" fillId="0" borderId="0" xfId="0" applyAlignment="1">
      <alignment horizontal="center"/>
    </xf>
    <xf numFmtId="0" fontId="11" fillId="0" borderId="51" xfId="0" applyFont="1" applyBorder="1" applyAlignment="1">
      <alignment horizontal="center"/>
    </xf>
    <xf numFmtId="0" fontId="13" fillId="0" borderId="0" xfId="0" applyFont="1"/>
    <xf numFmtId="0" fontId="14" fillId="8" borderId="57" xfId="0" applyFont="1" applyFill="1" applyBorder="1" applyAlignment="1">
      <alignment horizontal="left" vertical="top" wrapText="1"/>
    </xf>
    <xf numFmtId="0" fontId="15" fillId="8" borderId="58" xfId="0" applyFont="1" applyFill="1" applyBorder="1" applyAlignment="1">
      <alignment horizontal="left" vertical="top" wrapText="1"/>
    </xf>
    <xf numFmtId="0" fontId="17" fillId="7" borderId="56" xfId="0" applyFont="1" applyFill="1" applyBorder="1" applyAlignment="1">
      <alignment horizontal="left" vertical="top" wrapText="1"/>
    </xf>
    <xf numFmtId="0" fontId="0" fillId="10" borderId="0" xfId="0" applyFill="1"/>
    <xf numFmtId="0" fontId="0" fillId="11" borderId="0" xfId="0" applyFill="1"/>
    <xf numFmtId="0" fontId="0" fillId="12" borderId="0" xfId="0" applyFill="1"/>
    <xf numFmtId="0" fontId="0" fillId="4" borderId="0" xfId="0" applyFill="1"/>
    <xf numFmtId="0" fontId="3" fillId="11" borderId="0" xfId="0" applyFont="1" applyFill="1"/>
    <xf numFmtId="0" fontId="3" fillId="12" borderId="0" xfId="0" applyFont="1" applyFill="1"/>
    <xf numFmtId="0" fontId="3" fillId="4" borderId="0" xfId="0" applyFont="1" applyFill="1"/>
    <xf numFmtId="0" fontId="3" fillId="10" borderId="0" xfId="0" applyFont="1" applyFill="1"/>
    <xf numFmtId="0" fontId="3" fillId="0" borderId="0" xfId="0" applyFont="1"/>
    <xf numFmtId="17" fontId="0" fillId="11" borderId="0" xfId="0" applyNumberFormat="1" applyFill="1"/>
    <xf numFmtId="17" fontId="3" fillId="11" borderId="0" xfId="0" applyNumberFormat="1" applyFont="1" applyFill="1"/>
    <xf numFmtId="17" fontId="0" fillId="12" borderId="0" xfId="0" applyNumberFormat="1" applyFill="1"/>
    <xf numFmtId="17" fontId="3" fillId="12" borderId="0" xfId="0" applyNumberFormat="1" applyFont="1" applyFill="1"/>
    <xf numFmtId="17" fontId="0" fillId="4" borderId="0" xfId="0" applyNumberFormat="1" applyFill="1"/>
    <xf numFmtId="17" fontId="3" fillId="4" borderId="0" xfId="0" applyNumberFormat="1" applyFont="1" applyFill="1"/>
    <xf numFmtId="0" fontId="21" fillId="5" borderId="0" xfId="0" applyFont="1" applyFill="1"/>
    <xf numFmtId="0" fontId="20" fillId="5" borderId="0" xfId="0" applyFont="1" applyFill="1"/>
    <xf numFmtId="0" fontId="22" fillId="0" borderId="0" xfId="0" applyFont="1"/>
    <xf numFmtId="0" fontId="11" fillId="0" borderId="62" xfId="0" applyFont="1" applyBorder="1" applyAlignment="1">
      <alignment horizontal="center"/>
    </xf>
    <xf numFmtId="0" fontId="0" fillId="0" borderId="27" xfId="0" applyBorder="1"/>
    <xf numFmtId="0" fontId="0" fillId="0" borderId="52" xfId="0" applyBorder="1"/>
    <xf numFmtId="166" fontId="7" fillId="4" borderId="9" xfId="0" applyNumberFormat="1" applyFont="1" applyFill="1" applyBorder="1" applyAlignment="1">
      <alignment horizontal="center"/>
    </xf>
    <xf numFmtId="0" fontId="23" fillId="0" borderId="64" xfId="0" applyFont="1" applyBorder="1" applyAlignment="1">
      <alignment horizontal="center" vertical="center"/>
    </xf>
    <xf numFmtId="0" fontId="23" fillId="0" borderId="65" xfId="0" applyFont="1" applyBorder="1" applyAlignment="1">
      <alignment horizontal="center" vertical="center"/>
    </xf>
    <xf numFmtId="0" fontId="3" fillId="0" borderId="0" xfId="0" applyFont="1" applyAlignment="1">
      <alignment horizontal="center"/>
    </xf>
    <xf numFmtId="0" fontId="3" fillId="0" borderId="0" xfId="0" applyFont="1" applyAlignment="1">
      <alignment horizontal="left"/>
    </xf>
    <xf numFmtId="9" fontId="24" fillId="0" borderId="66" xfId="3" applyFont="1" applyBorder="1" applyAlignment="1">
      <alignment horizontal="center" vertical="center" wrapText="1"/>
    </xf>
    <xf numFmtId="9" fontId="24" fillId="0" borderId="67" xfId="3" applyFont="1" applyBorder="1" applyAlignment="1">
      <alignment horizontal="center" vertical="center" wrapText="1"/>
    </xf>
    <xf numFmtId="9" fontId="24" fillId="0" borderId="68" xfId="3" applyFont="1" applyBorder="1" applyAlignment="1">
      <alignment horizontal="center" vertical="center" wrapText="1"/>
    </xf>
    <xf numFmtId="9" fontId="24" fillId="0" borderId="69" xfId="3" applyFont="1" applyBorder="1" applyAlignment="1">
      <alignment horizontal="center" vertical="center" wrapText="1"/>
    </xf>
    <xf numFmtId="0" fontId="13" fillId="13" borderId="0" xfId="0" applyFont="1" applyFill="1"/>
    <xf numFmtId="0" fontId="17" fillId="13" borderId="56" xfId="0" applyFont="1" applyFill="1" applyBorder="1" applyAlignment="1">
      <alignment horizontal="left" vertical="top" wrapText="1"/>
    </xf>
    <xf numFmtId="0" fontId="27" fillId="15" borderId="0" xfId="4" applyFont="1" applyFill="1"/>
    <xf numFmtId="0" fontId="28" fillId="15" borderId="0" xfId="0" applyFont="1" applyFill="1"/>
    <xf numFmtId="0" fontId="20" fillId="15" borderId="0" xfId="0" applyFont="1" applyFill="1"/>
    <xf numFmtId="167" fontId="17" fillId="13" borderId="56" xfId="0" applyNumberFormat="1" applyFont="1" applyFill="1" applyBorder="1" applyAlignment="1">
      <alignment horizontal="left" vertical="top" wrapText="1"/>
    </xf>
    <xf numFmtId="0" fontId="11" fillId="16" borderId="45" xfId="0" applyFont="1" applyFill="1" applyBorder="1" applyAlignment="1">
      <alignment horizontal="center"/>
    </xf>
    <xf numFmtId="0" fontId="11" fillId="4" borderId="25" xfId="0" applyFont="1" applyFill="1" applyBorder="1" applyAlignment="1">
      <alignment horizontal="center"/>
    </xf>
    <xf numFmtId="167" fontId="11" fillId="4" borderId="19" xfId="0" applyNumberFormat="1" applyFont="1" applyFill="1" applyBorder="1" applyAlignment="1">
      <alignment horizontal="center"/>
    </xf>
    <xf numFmtId="167" fontId="11" fillId="4" borderId="25" xfId="0" applyNumberFormat="1" applyFont="1" applyFill="1" applyBorder="1" applyAlignment="1">
      <alignment horizontal="center"/>
    </xf>
    <xf numFmtId="167" fontId="11" fillId="4" borderId="20" xfId="0" applyNumberFormat="1" applyFont="1" applyFill="1" applyBorder="1" applyAlignment="1">
      <alignment horizontal="center"/>
    </xf>
    <xf numFmtId="167" fontId="11" fillId="4" borderId="29" xfId="0" applyNumberFormat="1" applyFont="1" applyFill="1" applyBorder="1" applyAlignment="1">
      <alignment horizontal="center"/>
    </xf>
    <xf numFmtId="167" fontId="11" fillId="4" borderId="30" xfId="0" applyNumberFormat="1" applyFont="1" applyFill="1" applyBorder="1" applyAlignment="1">
      <alignment horizontal="center"/>
    </xf>
    <xf numFmtId="0" fontId="11" fillId="4" borderId="29" xfId="0" applyFont="1" applyFill="1" applyBorder="1" applyAlignment="1">
      <alignment horizontal="center"/>
    </xf>
    <xf numFmtId="0" fontId="11" fillId="4" borderId="30" xfId="0" applyFont="1" applyFill="1" applyBorder="1" applyAlignment="1">
      <alignment horizontal="center"/>
    </xf>
    <xf numFmtId="0" fontId="11" fillId="4" borderId="36" xfId="0" applyFont="1" applyFill="1" applyBorder="1" applyAlignment="1">
      <alignment horizontal="center"/>
    </xf>
    <xf numFmtId="0" fontId="11" fillId="4" borderId="33" xfId="0" applyFont="1" applyFill="1" applyBorder="1" applyAlignment="1">
      <alignment horizontal="center"/>
    </xf>
    <xf numFmtId="0" fontId="11" fillId="4" borderId="49" xfId="0" applyFont="1" applyFill="1" applyBorder="1" applyAlignment="1">
      <alignment horizontal="center"/>
    </xf>
    <xf numFmtId="0" fontId="11" fillId="4" borderId="50" xfId="0" applyFont="1" applyFill="1" applyBorder="1" applyAlignment="1">
      <alignment horizontal="center"/>
    </xf>
    <xf numFmtId="1" fontId="11" fillId="4" borderId="9" xfId="0" applyNumberFormat="1" applyFont="1" applyFill="1" applyBorder="1" applyAlignment="1">
      <alignment horizontal="center"/>
    </xf>
    <xf numFmtId="0" fontId="11" fillId="4" borderId="9" xfId="0" applyFont="1" applyFill="1" applyBorder="1" applyAlignment="1">
      <alignment horizontal="center"/>
    </xf>
    <xf numFmtId="0" fontId="10" fillId="0" borderId="45" xfId="1" applyFont="1" applyFill="1" applyBorder="1" applyAlignment="1">
      <alignment horizontal="center"/>
    </xf>
    <xf numFmtId="169" fontId="13" fillId="0" borderId="0" xfId="3" applyNumberFormat="1" applyFont="1"/>
    <xf numFmtId="0" fontId="13" fillId="0" borderId="0" xfId="0" applyFont="1" applyAlignment="1">
      <alignment horizontal="right"/>
    </xf>
    <xf numFmtId="167" fontId="17" fillId="7" borderId="56" xfId="0" applyNumberFormat="1" applyFont="1" applyFill="1" applyBorder="1" applyAlignment="1">
      <alignment horizontal="left" vertical="top" wrapText="1"/>
    </xf>
    <xf numFmtId="0" fontId="7" fillId="4" borderId="10" xfId="0" applyFont="1" applyFill="1" applyBorder="1" applyAlignment="1">
      <alignment horizontal="center" vertical="center"/>
    </xf>
    <xf numFmtId="0" fontId="7" fillId="4" borderId="14" xfId="0" applyFont="1" applyFill="1" applyBorder="1" applyAlignment="1">
      <alignment horizontal="center" vertical="center"/>
    </xf>
    <xf numFmtId="168" fontId="7" fillId="4" borderId="12" xfId="0" applyNumberFormat="1" applyFont="1" applyFill="1" applyBorder="1" applyAlignment="1">
      <alignment horizontal="center" wrapText="1"/>
    </xf>
    <xf numFmtId="0" fontId="8" fillId="0" borderId="31" xfId="0" applyFont="1" applyBorder="1" applyAlignment="1">
      <alignment horizontal="center" wrapText="1"/>
    </xf>
    <xf numFmtId="0" fontId="8" fillId="0" borderId="32" xfId="0" applyFont="1" applyBorder="1" applyAlignment="1">
      <alignment horizontal="center" wrapText="1"/>
    </xf>
    <xf numFmtId="1" fontId="7" fillId="4" borderId="9" xfId="0" applyNumberFormat="1" applyFont="1" applyFill="1" applyBorder="1" applyAlignment="1">
      <alignment horizontal="center"/>
    </xf>
    <xf numFmtId="15" fontId="5" fillId="19" borderId="9" xfId="0" applyNumberFormat="1" applyFont="1" applyFill="1" applyBorder="1" applyAlignment="1">
      <alignment horizontal="center" vertical="center" wrapText="1"/>
    </xf>
    <xf numFmtId="165" fontId="5" fillId="14" borderId="9" xfId="0" applyNumberFormat="1" applyFont="1" applyFill="1" applyBorder="1" applyAlignment="1">
      <alignment horizontal="center" vertical="center" wrapText="1"/>
    </xf>
    <xf numFmtId="0" fontId="0" fillId="0" borderId="21" xfId="0" applyBorder="1"/>
    <xf numFmtId="0" fontId="11" fillId="0" borderId="37" xfId="0" applyFont="1" applyBorder="1" applyAlignment="1">
      <alignment horizontal="center"/>
    </xf>
    <xf numFmtId="0" fontId="11" fillId="0" borderId="41" xfId="0" applyFont="1" applyBorder="1" applyAlignment="1">
      <alignment horizontal="center"/>
    </xf>
    <xf numFmtId="0" fontId="9" fillId="0" borderId="2" xfId="0" applyFont="1" applyBorder="1" applyAlignment="1">
      <alignment horizontal="center" vertical="center"/>
    </xf>
    <xf numFmtId="0" fontId="9" fillId="4" borderId="9" xfId="0" applyFont="1" applyFill="1" applyBorder="1" applyAlignment="1">
      <alignment horizontal="center" vertical="center"/>
    </xf>
    <xf numFmtId="0" fontId="9" fillId="4" borderId="11" xfId="0" applyFont="1" applyFill="1" applyBorder="1" applyAlignment="1">
      <alignment horizontal="center" vertical="center"/>
    </xf>
    <xf numFmtId="0" fontId="11" fillId="0" borderId="15" xfId="0" applyFont="1" applyBorder="1" applyAlignment="1">
      <alignment horizontal="center"/>
    </xf>
    <xf numFmtId="0" fontId="11" fillId="0" borderId="47" xfId="0" applyFont="1" applyBorder="1" applyAlignment="1">
      <alignment horizontal="center"/>
    </xf>
    <xf numFmtId="0" fontId="11" fillId="0" borderId="29" xfId="0" applyFont="1" applyBorder="1" applyAlignment="1">
      <alignment horizontal="center"/>
    </xf>
    <xf numFmtId="0" fontId="11" fillId="0" borderId="48" xfId="0" applyFont="1" applyBorder="1" applyAlignment="1">
      <alignment horizontal="center"/>
    </xf>
    <xf numFmtId="0" fontId="9" fillId="0" borderId="9" xfId="0" applyFont="1" applyBorder="1" applyAlignment="1">
      <alignment horizontal="center"/>
    </xf>
    <xf numFmtId="0" fontId="0" fillId="4" borderId="13" xfId="0" applyFill="1" applyBorder="1" applyAlignment="1">
      <alignment horizont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4" fillId="0" borderId="0" xfId="0" applyFont="1" applyAlignment="1">
      <alignment horizontal="center"/>
    </xf>
    <xf numFmtId="0" fontId="3" fillId="14" borderId="0" xfId="0" applyFont="1" applyFill="1"/>
    <xf numFmtId="1" fontId="11" fillId="0" borderId="45" xfId="0" applyNumberFormat="1" applyFont="1" applyBorder="1" applyAlignment="1">
      <alignment horizontal="center"/>
    </xf>
    <xf numFmtId="0" fontId="0" fillId="0" borderId="3" xfId="0" applyBorder="1"/>
    <xf numFmtId="0" fontId="11" fillId="0" borderId="30" xfId="0" applyFont="1" applyBorder="1" applyAlignment="1">
      <alignment horizontal="center"/>
    </xf>
    <xf numFmtId="0" fontId="11" fillId="0" borderId="38" xfId="0" applyFont="1" applyBorder="1" applyAlignment="1">
      <alignment horizontal="center"/>
    </xf>
    <xf numFmtId="0" fontId="11" fillId="0" borderId="11" xfId="0" applyFont="1" applyBorder="1" applyAlignment="1">
      <alignment horizontal="center"/>
    </xf>
    <xf numFmtId="0" fontId="11" fillId="14" borderId="11" xfId="0" applyFont="1" applyFill="1" applyBorder="1" applyAlignment="1">
      <alignment horizontal="center"/>
    </xf>
    <xf numFmtId="0" fontId="11" fillId="14" borderId="12" xfId="0" applyFont="1" applyFill="1" applyBorder="1" applyAlignment="1">
      <alignment horizontal="center"/>
    </xf>
    <xf numFmtId="1" fontId="11" fillId="14" borderId="62" xfId="0" applyNumberFormat="1" applyFont="1" applyFill="1" applyBorder="1" applyAlignment="1">
      <alignment horizontal="center"/>
    </xf>
    <xf numFmtId="0" fontId="11" fillId="10" borderId="15" xfId="0" applyFont="1" applyFill="1" applyBorder="1" applyAlignment="1">
      <alignment horizontal="center"/>
    </xf>
    <xf numFmtId="0" fontId="11" fillId="10" borderId="47" xfId="0" applyFont="1" applyFill="1" applyBorder="1" applyAlignment="1">
      <alignment horizontal="center"/>
    </xf>
    <xf numFmtId="0" fontId="11" fillId="10" borderId="45" xfId="0" applyFont="1" applyFill="1" applyBorder="1" applyAlignment="1">
      <alignment horizontal="center"/>
    </xf>
    <xf numFmtId="9" fontId="12" fillId="0" borderId="0" xfId="3" applyFont="1" applyAlignment="1">
      <alignment horizontal="center"/>
    </xf>
    <xf numFmtId="1" fontId="11" fillId="0" borderId="59" xfId="0" applyNumberFormat="1" applyFont="1" applyBorder="1" applyAlignment="1">
      <alignment horizontal="center"/>
    </xf>
    <xf numFmtId="1" fontId="11" fillId="0" borderId="61" xfId="0" applyNumberFormat="1" applyFont="1" applyBorder="1" applyAlignment="1">
      <alignment horizontal="center"/>
    </xf>
    <xf numFmtId="1" fontId="11" fillId="0" borderId="62" xfId="0" applyNumberFormat="1" applyFont="1" applyBorder="1" applyAlignment="1">
      <alignment horizontal="center"/>
    </xf>
    <xf numFmtId="0" fontId="5" fillId="4" borderId="12" xfId="0" applyFont="1" applyFill="1" applyBorder="1" applyAlignment="1">
      <alignment horizontal="center" vertical="center" wrapText="1"/>
    </xf>
    <xf numFmtId="0" fontId="9" fillId="0" borderId="7" xfId="0" applyFont="1" applyBorder="1" applyAlignment="1">
      <alignment horizontal="center" vertical="center"/>
    </xf>
    <xf numFmtId="0" fontId="9" fillId="4" borderId="12" xfId="0" applyFont="1" applyFill="1" applyBorder="1" applyAlignment="1">
      <alignment horizontal="center" vertical="center"/>
    </xf>
    <xf numFmtId="1" fontId="11" fillId="0" borderId="48" xfId="0" applyNumberFormat="1" applyFont="1" applyBorder="1" applyAlignment="1">
      <alignment horizontal="center"/>
    </xf>
    <xf numFmtId="1" fontId="11" fillId="0" borderId="34" xfId="0" applyNumberFormat="1" applyFont="1" applyBorder="1" applyAlignment="1">
      <alignment horizontal="center"/>
    </xf>
    <xf numFmtId="0" fontId="11" fillId="0" borderId="2" xfId="0" applyFont="1" applyBorder="1" applyAlignment="1">
      <alignment horizontal="center"/>
    </xf>
    <xf numFmtId="1" fontId="7" fillId="10" borderId="9" xfId="0" applyNumberFormat="1" applyFont="1" applyFill="1" applyBorder="1" applyAlignment="1">
      <alignment horizontal="center"/>
    </xf>
    <xf numFmtId="0" fontId="31" fillId="14" borderId="73" xfId="0" applyFont="1" applyFill="1" applyBorder="1"/>
    <xf numFmtId="0" fontId="31" fillId="14" borderId="74" xfId="0" applyFont="1" applyFill="1" applyBorder="1"/>
    <xf numFmtId="0" fontId="31" fillId="14" borderId="75" xfId="0" applyFont="1" applyFill="1" applyBorder="1"/>
    <xf numFmtId="0" fontId="13" fillId="14" borderId="72" xfId="0" applyFont="1" applyFill="1" applyBorder="1"/>
    <xf numFmtId="169" fontId="35" fillId="0" borderId="0" xfId="3" applyNumberFormat="1" applyFont="1" applyAlignment="1">
      <alignment horizontal="center"/>
    </xf>
    <xf numFmtId="9" fontId="11" fillId="0" borderId="48" xfId="0" applyNumberFormat="1" applyFont="1" applyBorder="1" applyAlignment="1">
      <alignment horizontal="center"/>
    </xf>
    <xf numFmtId="1" fontId="11" fillId="4" borderId="29" xfId="0" applyNumberFormat="1" applyFont="1" applyFill="1" applyBorder="1" applyAlignment="1">
      <alignment horizontal="center"/>
    </xf>
    <xf numFmtId="1" fontId="11" fillId="4" borderId="36" xfId="0" applyNumberFormat="1" applyFont="1" applyFill="1" applyBorder="1" applyAlignment="1">
      <alignment horizontal="center"/>
    </xf>
    <xf numFmtId="1" fontId="11" fillId="0" borderId="59" xfId="0" applyNumberFormat="1" applyFont="1" applyBorder="1" applyAlignment="1">
      <alignment horizontal="center" vertical="center"/>
    </xf>
    <xf numFmtId="1" fontId="11" fillId="0" borderId="76" xfId="0" applyNumberFormat="1" applyFont="1" applyBorder="1" applyAlignment="1">
      <alignment horizontal="center" vertical="center"/>
    </xf>
    <xf numFmtId="0" fontId="11" fillId="0" borderId="77" xfId="0" applyFont="1" applyBorder="1" applyAlignment="1">
      <alignment horizontal="center"/>
    </xf>
    <xf numFmtId="1" fontId="11" fillId="0" borderId="77" xfId="0" applyNumberFormat="1" applyFont="1" applyBorder="1" applyAlignment="1">
      <alignment horizontal="center"/>
    </xf>
    <xf numFmtId="0" fontId="11" fillId="4" borderId="10" xfId="0" applyFont="1" applyFill="1" applyBorder="1" applyAlignment="1">
      <alignment horizontal="center"/>
    </xf>
    <xf numFmtId="167" fontId="11" fillId="4" borderId="53" xfId="0" applyNumberFormat="1" applyFont="1" applyFill="1" applyBorder="1" applyAlignment="1">
      <alignment horizontal="center"/>
    </xf>
    <xf numFmtId="167" fontId="11" fillId="4" borderId="9" xfId="0" applyNumberFormat="1" applyFont="1" applyFill="1" applyBorder="1" applyAlignment="1">
      <alignment horizontal="center"/>
    </xf>
    <xf numFmtId="1" fontId="11" fillId="0" borderId="25" xfId="0" applyNumberFormat="1" applyFont="1" applyBorder="1" applyAlignment="1">
      <alignment horizontal="center"/>
    </xf>
    <xf numFmtId="1" fontId="11" fillId="0" borderId="9" xfId="0" applyNumberFormat="1" applyFont="1" applyBorder="1" applyAlignment="1">
      <alignment horizontal="center"/>
    </xf>
    <xf numFmtId="0" fontId="11" fillId="0" borderId="9" xfId="0" applyFont="1" applyBorder="1" applyAlignment="1">
      <alignment horizontal="center"/>
    </xf>
    <xf numFmtId="0" fontId="11" fillId="10" borderId="17" xfId="0" applyFont="1" applyFill="1" applyBorder="1" applyAlignment="1">
      <alignment horizontal="center"/>
    </xf>
    <xf numFmtId="0" fontId="11" fillId="0" borderId="17" xfId="0" applyFont="1" applyBorder="1" applyAlignment="1">
      <alignment horizontal="center"/>
    </xf>
    <xf numFmtId="1" fontId="11" fillId="0" borderId="17" xfId="0" applyNumberFormat="1" applyFont="1" applyBorder="1" applyAlignment="1">
      <alignment horizontal="center"/>
    </xf>
    <xf numFmtId="1" fontId="11" fillId="14" borderId="78" xfId="0" applyNumberFormat="1" applyFont="1" applyFill="1" applyBorder="1" applyAlignment="1">
      <alignment horizontal="center"/>
    </xf>
    <xf numFmtId="0" fontId="11" fillId="0" borderId="18" xfId="0" applyFont="1" applyBorder="1" applyAlignment="1">
      <alignment horizontal="center"/>
    </xf>
    <xf numFmtId="0" fontId="11" fillId="0" borderId="28" xfId="0" applyFont="1" applyBorder="1" applyAlignment="1">
      <alignment horizontal="center"/>
    </xf>
    <xf numFmtId="9" fontId="12" fillId="4" borderId="9" xfId="3" applyFont="1" applyFill="1" applyBorder="1" applyAlignment="1">
      <alignment horizontal="center"/>
    </xf>
    <xf numFmtId="167" fontId="11" fillId="0" borderId="25" xfId="0" applyNumberFormat="1" applyFont="1" applyBorder="1" applyAlignment="1">
      <alignment horizontal="center"/>
    </xf>
    <xf numFmtId="165" fontId="8" fillId="0" borderId="28" xfId="0" applyNumberFormat="1" applyFont="1" applyBorder="1" applyAlignment="1">
      <alignment horizontal="center" wrapText="1"/>
    </xf>
    <xf numFmtId="165" fontId="8" fillId="0" borderId="23" xfId="0" applyNumberFormat="1" applyFont="1" applyBorder="1" applyAlignment="1">
      <alignment horizontal="center" wrapText="1"/>
    </xf>
    <xf numFmtId="165" fontId="8" fillId="0" borderId="35" xfId="0" applyNumberFormat="1" applyFont="1" applyBorder="1" applyAlignment="1">
      <alignment horizontal="center" wrapText="1"/>
    </xf>
    <xf numFmtId="1" fontId="11" fillId="14" borderId="9" xfId="0" applyNumberFormat="1" applyFont="1" applyFill="1" applyBorder="1" applyAlignment="1">
      <alignment horizontal="center"/>
    </xf>
    <xf numFmtId="1" fontId="7" fillId="10" borderId="11" xfId="0" applyNumberFormat="1" applyFont="1" applyFill="1" applyBorder="1" applyAlignment="1">
      <alignment horizontal="center"/>
    </xf>
    <xf numFmtId="1" fontId="11" fillId="0" borderId="11" xfId="0" applyNumberFormat="1" applyFont="1" applyBorder="1" applyAlignment="1">
      <alignment horizontal="center"/>
    </xf>
    <xf numFmtId="1" fontId="11" fillId="0" borderId="80" xfId="0" applyNumberFormat="1" applyFont="1" applyBorder="1" applyAlignment="1">
      <alignment horizontal="center" vertical="center"/>
    </xf>
    <xf numFmtId="0" fontId="11" fillId="0" borderId="78" xfId="0" applyFont="1" applyBorder="1" applyAlignment="1">
      <alignment horizontal="center"/>
    </xf>
    <xf numFmtId="1" fontId="11" fillId="0" borderId="78" xfId="0" applyNumberFormat="1" applyFont="1" applyBorder="1" applyAlignment="1">
      <alignment horizontal="center"/>
    </xf>
    <xf numFmtId="14" fontId="4" fillId="0" borderId="4" xfId="0" applyNumberFormat="1" applyFont="1" applyBorder="1" applyAlignment="1">
      <alignment horizontal="right"/>
    </xf>
    <xf numFmtId="165" fontId="4" fillId="0" borderId="0" xfId="0" applyNumberFormat="1" applyFont="1" applyAlignment="1">
      <alignment horizontal="center"/>
    </xf>
    <xf numFmtId="0" fontId="4" fillId="0" borderId="0" xfId="0" applyFont="1" applyAlignment="1">
      <alignment horizontal="center" vertical="center"/>
    </xf>
    <xf numFmtId="0" fontId="0" fillId="0" borderId="1" xfId="0" applyBorder="1"/>
    <xf numFmtId="0" fontId="0" fillId="0" borderId="0" xfId="0" applyAlignment="1">
      <alignment horizontal="right"/>
    </xf>
    <xf numFmtId="169" fontId="11" fillId="0" borderId="0" xfId="3" applyNumberFormat="1" applyFont="1" applyAlignment="1">
      <alignment horizontal="center" vertical="center"/>
    </xf>
    <xf numFmtId="0" fontId="26" fillId="0" borderId="0" xfId="4"/>
    <xf numFmtId="0" fontId="0" fillId="14" borderId="0" xfId="0" applyFill="1"/>
    <xf numFmtId="0" fontId="10" fillId="0" borderId="25" xfId="1" applyFont="1" applyFill="1" applyBorder="1" applyAlignment="1">
      <alignment horizontal="center" vertical="center" textRotation="90"/>
    </xf>
    <xf numFmtId="0" fontId="10" fillId="0" borderId="44" xfId="1" applyFont="1" applyFill="1" applyBorder="1" applyAlignment="1">
      <alignment horizontal="center" vertical="center"/>
    </xf>
    <xf numFmtId="0" fontId="10" fillId="0" borderId="24" xfId="1" applyFont="1" applyFill="1" applyBorder="1" applyAlignment="1">
      <alignment horizontal="center" vertical="center"/>
    </xf>
    <xf numFmtId="0" fontId="10" fillId="0" borderId="37" xfId="2" applyFont="1" applyFill="1" applyBorder="1" applyAlignment="1">
      <alignment horizontal="center" vertical="center"/>
    </xf>
    <xf numFmtId="0" fontId="9" fillId="0" borderId="15" xfId="0" applyFont="1" applyBorder="1" applyAlignment="1">
      <alignment horizontal="center"/>
    </xf>
    <xf numFmtId="0" fontId="9" fillId="0" borderId="15" xfId="0" applyFont="1" applyBorder="1"/>
    <xf numFmtId="0" fontId="9" fillId="0" borderId="29" xfId="0" applyFont="1" applyBorder="1"/>
    <xf numFmtId="0" fontId="15" fillId="8" borderId="58" xfId="0" applyFont="1" applyFill="1" applyBorder="1" applyAlignment="1">
      <alignment horizontal="center" vertical="top" wrapText="1"/>
    </xf>
    <xf numFmtId="0" fontId="9" fillId="0" borderId="29" xfId="0" applyFont="1" applyBorder="1" applyAlignment="1">
      <alignment horizontal="center"/>
    </xf>
    <xf numFmtId="0" fontId="9" fillId="0" borderId="37" xfId="0" applyFont="1" applyBorder="1" applyAlignment="1">
      <alignment horizontal="center"/>
    </xf>
    <xf numFmtId="0" fontId="10" fillId="0" borderId="24" xfId="1" applyFont="1" applyFill="1" applyBorder="1" applyAlignment="1">
      <alignment horizontal="center" vertical="center" textRotation="90"/>
    </xf>
    <xf numFmtId="0" fontId="10" fillId="0" borderId="39" xfId="1" applyFont="1" applyFill="1" applyBorder="1" applyAlignment="1">
      <alignment horizontal="center" vertical="center" textRotation="90"/>
    </xf>
    <xf numFmtId="0" fontId="10" fillId="0" borderId="42" xfId="1" applyFont="1" applyFill="1" applyBorder="1" applyAlignment="1">
      <alignment horizontal="center" vertical="center" textRotation="90"/>
    </xf>
    <xf numFmtId="0" fontId="7" fillId="4" borderId="9" xfId="0" applyFont="1" applyFill="1" applyBorder="1" applyAlignment="1">
      <alignment horizontal="center"/>
    </xf>
    <xf numFmtId="0" fontId="9" fillId="4" borderId="13" xfId="0" applyFont="1" applyFill="1" applyBorder="1" applyAlignment="1">
      <alignment horizontal="center" vertical="center"/>
    </xf>
    <xf numFmtId="1" fontId="8" fillId="0" borderId="23" xfId="0" applyNumberFormat="1" applyFont="1" applyBorder="1" applyAlignment="1">
      <alignment horizontal="center" wrapText="1"/>
    </xf>
    <xf numFmtId="165" fontId="8" fillId="0" borderId="32" xfId="0" applyNumberFormat="1" applyFont="1" applyBorder="1" applyAlignment="1">
      <alignment horizontal="center" wrapText="1"/>
    </xf>
    <xf numFmtId="165" fontId="8" fillId="0" borderId="60" xfId="0" applyNumberFormat="1" applyFont="1" applyBorder="1" applyAlignment="1">
      <alignment horizontal="center" wrapText="1"/>
    </xf>
    <xf numFmtId="165" fontId="8" fillId="0" borderId="26" xfId="0" applyNumberFormat="1" applyFont="1" applyBorder="1" applyAlignment="1">
      <alignment horizontal="center" wrapText="1"/>
    </xf>
    <xf numFmtId="165" fontId="8" fillId="0" borderId="81" xfId="0" applyNumberFormat="1" applyFont="1" applyBorder="1" applyAlignment="1">
      <alignment horizontal="center" wrapText="1"/>
    </xf>
    <xf numFmtId="165" fontId="8" fillId="0" borderId="24" xfId="0" applyNumberFormat="1" applyFont="1" applyBorder="1" applyAlignment="1">
      <alignment horizontal="center" wrapText="1"/>
    </xf>
    <xf numFmtId="1" fontId="8" fillId="0" borderId="40" xfId="0" applyNumberFormat="1" applyFont="1" applyBorder="1" applyAlignment="1">
      <alignment horizontal="center" wrapText="1"/>
    </xf>
    <xf numFmtId="0" fontId="3" fillId="0" borderId="11" xfId="0" applyFont="1" applyBorder="1" applyAlignment="1">
      <alignment horizontal="left"/>
    </xf>
    <xf numFmtId="0" fontId="3" fillId="0" borderId="12" xfId="0" applyFont="1" applyBorder="1" applyAlignment="1">
      <alignment horizontal="center"/>
    </xf>
    <xf numFmtId="0" fontId="3" fillId="0" borderId="13" xfId="0" applyFont="1" applyBorder="1" applyAlignment="1">
      <alignment horizontal="center"/>
    </xf>
    <xf numFmtId="9" fontId="8" fillId="0" borderId="28" xfId="3" applyFont="1" applyBorder="1" applyAlignment="1">
      <alignment horizontal="center" wrapText="1"/>
    </xf>
    <xf numFmtId="0" fontId="44" fillId="0" borderId="13" xfId="0" applyFont="1" applyBorder="1"/>
    <xf numFmtId="0" fontId="42" fillId="0" borderId="9" xfId="0" applyFont="1" applyBorder="1"/>
    <xf numFmtId="0" fontId="0" fillId="0" borderId="25" xfId="0" applyBorder="1"/>
    <xf numFmtId="0" fontId="0" fillId="0" borderId="25" xfId="0" applyBorder="1" applyAlignment="1">
      <alignment horizontal="center" vertical="center"/>
    </xf>
    <xf numFmtId="0" fontId="0" fillId="0" borderId="70" xfId="0" applyBorder="1"/>
    <xf numFmtId="0" fontId="3" fillId="0" borderId="9" xfId="0" applyFont="1" applyBorder="1"/>
    <xf numFmtId="0" fontId="0" fillId="18" borderId="6" xfId="0" applyFill="1" applyBorder="1"/>
    <xf numFmtId="0" fontId="9" fillId="4" borderId="11" xfId="0" applyFont="1" applyFill="1" applyBorder="1" applyAlignment="1">
      <alignment horizontal="left" vertical="center"/>
    </xf>
    <xf numFmtId="167" fontId="11" fillId="14" borderId="9" xfId="0" applyNumberFormat="1" applyFont="1" applyFill="1" applyBorder="1" applyAlignment="1">
      <alignment horizontal="center"/>
    </xf>
    <xf numFmtId="0" fontId="0" fillId="0" borderId="45" xfId="0" applyBorder="1"/>
    <xf numFmtId="0" fontId="0" fillId="0" borderId="45" xfId="0" applyBorder="1" applyAlignment="1">
      <alignment horizontal="center" vertical="center"/>
    </xf>
    <xf numFmtId="0" fontId="13" fillId="23" borderId="0" xfId="0" applyFont="1" applyFill="1"/>
    <xf numFmtId="9" fontId="11" fillId="0" borderId="9" xfId="3" applyFont="1" applyBorder="1" applyAlignment="1">
      <alignment horizontal="center"/>
    </xf>
    <xf numFmtId="0" fontId="40" fillId="0" borderId="0" xfId="0" applyFont="1" applyAlignment="1">
      <alignment horizontal="left" vertical="top" wrapText="1"/>
    </xf>
    <xf numFmtId="0" fontId="46" fillId="21" borderId="0" xfId="0" applyFont="1" applyFill="1"/>
    <xf numFmtId="0" fontId="48" fillId="0" borderId="0" xfId="0" applyFont="1" applyAlignment="1">
      <alignment horizontal="right" vertical="top"/>
    </xf>
    <xf numFmtId="0" fontId="49" fillId="0" borderId="0" xfId="0" applyFont="1" applyAlignment="1">
      <alignment horizontal="right"/>
    </xf>
    <xf numFmtId="0" fontId="49" fillId="0" borderId="0" xfId="0" applyFont="1" applyAlignment="1">
      <alignment horizontal="right" vertical="top"/>
    </xf>
    <xf numFmtId="0" fontId="5" fillId="4" borderId="10" xfId="0" applyFont="1" applyFill="1" applyBorder="1" applyAlignment="1">
      <alignment horizontal="center" vertical="center" wrapText="1"/>
    </xf>
    <xf numFmtId="9" fontId="0" fillId="14" borderId="25" xfId="0" applyNumberFormat="1" applyFill="1" applyBorder="1" applyAlignment="1">
      <alignment horizontal="center"/>
    </xf>
    <xf numFmtId="9" fontId="0" fillId="14" borderId="25" xfId="3" applyFont="1" applyFill="1" applyBorder="1" applyAlignment="1">
      <alignment horizontal="center"/>
    </xf>
    <xf numFmtId="166" fontId="7" fillId="4" borderId="76" xfId="0" applyNumberFormat="1" applyFont="1" applyFill="1" applyBorder="1" applyAlignment="1">
      <alignment horizontal="center"/>
    </xf>
    <xf numFmtId="166" fontId="7" fillId="4" borderId="59" xfId="0" applyNumberFormat="1" applyFont="1" applyFill="1" applyBorder="1" applyAlignment="1">
      <alignment horizontal="center"/>
    </xf>
    <xf numFmtId="166" fontId="7" fillId="4" borderId="80" xfId="0" applyNumberFormat="1" applyFont="1" applyFill="1" applyBorder="1" applyAlignment="1">
      <alignment horizontal="center"/>
    </xf>
    <xf numFmtId="0" fontId="3" fillId="24" borderId="62" xfId="0" applyFont="1" applyFill="1" applyBorder="1" applyAlignment="1">
      <alignment horizontal="center"/>
    </xf>
    <xf numFmtId="0" fontId="7" fillId="24" borderId="62" xfId="0" applyFont="1" applyFill="1" applyBorder="1" applyAlignment="1">
      <alignment horizontal="center"/>
    </xf>
    <xf numFmtId="0" fontId="7" fillId="24" borderId="93" xfId="0" applyFont="1" applyFill="1" applyBorder="1" applyAlignment="1">
      <alignment horizontal="center"/>
    </xf>
    <xf numFmtId="0" fontId="0" fillId="0" borderId="2" xfId="0" applyBorder="1"/>
    <xf numFmtId="167" fontId="11" fillId="4" borderId="6" xfId="0" applyNumberFormat="1" applyFont="1" applyFill="1" applyBorder="1" applyAlignment="1">
      <alignment horizontal="center"/>
    </xf>
    <xf numFmtId="167" fontId="11" fillId="4" borderId="42" xfId="0" applyNumberFormat="1" applyFont="1" applyFill="1" applyBorder="1" applyAlignment="1">
      <alignment horizontal="center"/>
    </xf>
    <xf numFmtId="167" fontId="11" fillId="4" borderId="8" xfId="0" applyNumberFormat="1" applyFont="1" applyFill="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left"/>
    </xf>
    <xf numFmtId="0" fontId="11" fillId="4" borderId="45" xfId="0" applyFont="1" applyFill="1" applyBorder="1" applyAlignment="1">
      <alignment horizontal="center"/>
    </xf>
    <xf numFmtId="0" fontId="11" fillId="4" borderId="95" xfId="0" applyFont="1" applyFill="1" applyBorder="1" applyAlignment="1">
      <alignment horizontal="center"/>
    </xf>
    <xf numFmtId="167" fontId="11" fillId="4" borderId="96" xfId="0" applyNumberFormat="1" applyFont="1" applyFill="1" applyBorder="1" applyAlignment="1">
      <alignment horizontal="center"/>
    </xf>
    <xf numFmtId="0" fontId="23" fillId="0" borderId="97" xfId="0" applyFont="1" applyBorder="1" applyAlignment="1">
      <alignment horizontal="center" vertical="center"/>
    </xf>
    <xf numFmtId="9" fontId="24" fillId="0" borderId="98" xfId="3" applyFont="1" applyBorder="1" applyAlignment="1">
      <alignment horizontal="center" vertical="center" wrapText="1"/>
    </xf>
    <xf numFmtId="0" fontId="11" fillId="0" borderId="7" xfId="0" applyFont="1" applyBorder="1" applyAlignment="1">
      <alignment horizontal="center"/>
    </xf>
    <xf numFmtId="0" fontId="11" fillId="4" borderId="1" xfId="0" applyFont="1" applyFill="1" applyBorder="1" applyAlignment="1">
      <alignment horizontal="center"/>
    </xf>
    <xf numFmtId="0" fontId="11" fillId="4" borderId="59" xfId="0" applyFont="1" applyFill="1" applyBorder="1" applyAlignment="1">
      <alignment horizontal="center"/>
    </xf>
    <xf numFmtId="0" fontId="11" fillId="4" borderId="3" xfId="0" applyFont="1" applyFill="1" applyBorder="1" applyAlignment="1">
      <alignment horizontal="center"/>
    </xf>
    <xf numFmtId="167" fontId="11" fillId="4" borderId="15" xfId="0" applyNumberFormat="1" applyFont="1" applyFill="1" applyBorder="1" applyAlignment="1">
      <alignment horizontal="center"/>
    </xf>
    <xf numFmtId="167" fontId="11" fillId="4" borderId="45" xfId="0" applyNumberFormat="1" applyFont="1" applyFill="1" applyBorder="1" applyAlignment="1">
      <alignment horizontal="center"/>
    </xf>
    <xf numFmtId="167" fontId="11" fillId="4" borderId="95" xfId="0" applyNumberFormat="1" applyFont="1" applyFill="1" applyBorder="1" applyAlignment="1">
      <alignment horizontal="center"/>
    </xf>
    <xf numFmtId="167" fontId="11" fillId="4" borderId="11" xfId="0" applyNumberFormat="1" applyFont="1" applyFill="1" applyBorder="1" applyAlignment="1">
      <alignment horizontal="center"/>
    </xf>
    <xf numFmtId="167" fontId="11" fillId="4" borderId="62" xfId="0" applyNumberFormat="1" applyFont="1" applyFill="1" applyBorder="1" applyAlignment="1">
      <alignment horizontal="center"/>
    </xf>
    <xf numFmtId="167" fontId="11" fillId="4" borderId="13" xfId="0" applyNumberFormat="1" applyFont="1" applyFill="1" applyBorder="1" applyAlignment="1">
      <alignment horizontal="center"/>
    </xf>
    <xf numFmtId="0" fontId="31" fillId="14" borderId="0" xfId="0" applyFont="1" applyFill="1" applyAlignment="1">
      <alignment horizontal="center" vertical="center"/>
    </xf>
    <xf numFmtId="0" fontId="13" fillId="0" borderId="0" xfId="0" quotePrefix="1" applyFont="1"/>
    <xf numFmtId="0" fontId="31" fillId="0" borderId="0" xfId="0" applyFont="1" applyAlignment="1">
      <alignment horizontal="right"/>
    </xf>
    <xf numFmtId="171" fontId="31" fillId="0" borderId="0" xfId="0" applyNumberFormat="1" applyFont="1" applyAlignment="1">
      <alignment horizontal="center"/>
    </xf>
    <xf numFmtId="172" fontId="31" fillId="0" borderId="0" xfId="0" applyNumberFormat="1" applyFont="1" applyAlignment="1">
      <alignment horizontal="center"/>
    </xf>
    <xf numFmtId="173" fontId="31" fillId="0" borderId="0" xfId="0" applyNumberFormat="1" applyFont="1" applyAlignment="1">
      <alignment horizontal="center"/>
    </xf>
    <xf numFmtId="0" fontId="13" fillId="0" borderId="0" xfId="0" quotePrefix="1" applyFont="1" applyAlignment="1">
      <alignment horizontal="center"/>
    </xf>
    <xf numFmtId="9" fontId="9" fillId="18" borderId="9" xfId="3" applyFont="1" applyFill="1" applyBorder="1" applyAlignment="1">
      <alignment horizontal="center"/>
    </xf>
    <xf numFmtId="0" fontId="11" fillId="14" borderId="35" xfId="0" applyFont="1" applyFill="1" applyBorder="1" applyAlignment="1">
      <alignment horizontal="center"/>
    </xf>
    <xf numFmtId="0" fontId="0" fillId="18" borderId="2" xfId="0" applyFill="1" applyBorder="1"/>
    <xf numFmtId="0" fontId="0" fillId="18" borderId="3" xfId="0" applyFill="1" applyBorder="1"/>
    <xf numFmtId="0" fontId="3" fillId="18" borderId="6" xfId="0" applyFont="1" applyFill="1" applyBorder="1"/>
    <xf numFmtId="0" fontId="0" fillId="18" borderId="7" xfId="0" applyFill="1" applyBorder="1"/>
    <xf numFmtId="0" fontId="0" fillId="18" borderId="8" xfId="0" applyFill="1" applyBorder="1"/>
    <xf numFmtId="0" fontId="9" fillId="0" borderId="0" xfId="0" applyFont="1" applyAlignment="1">
      <alignment horizontal="center"/>
    </xf>
    <xf numFmtId="1" fontId="11" fillId="0" borderId="0" xfId="0" applyNumberFormat="1" applyFont="1" applyAlignment="1">
      <alignment horizontal="center"/>
    </xf>
    <xf numFmtId="167" fontId="11" fillId="4" borderId="0" xfId="0" applyNumberFormat="1" applyFont="1" applyFill="1" applyAlignment="1">
      <alignment horizontal="center"/>
    </xf>
    <xf numFmtId="0" fontId="34" fillId="0" borderId="0" xfId="0" applyFont="1" applyAlignment="1">
      <alignment horizontal="left" vertical="top" wrapText="1"/>
    </xf>
    <xf numFmtId="165" fontId="0" fillId="0" borderId="12" xfId="0" applyNumberFormat="1" applyBorder="1"/>
    <xf numFmtId="167" fontId="11" fillId="4" borderId="93" xfId="0" applyNumberFormat="1" applyFont="1" applyFill="1" applyBorder="1" applyAlignment="1">
      <alignment horizontal="center"/>
    </xf>
    <xf numFmtId="9" fontId="9" fillId="19" borderId="48" xfId="0" applyNumberFormat="1" applyFont="1" applyFill="1" applyBorder="1" applyAlignment="1">
      <alignment horizontal="center"/>
    </xf>
    <xf numFmtId="0" fontId="51" fillId="15" borderId="0" xfId="4" applyFont="1" applyFill="1"/>
    <xf numFmtId="169" fontId="9" fillId="14" borderId="9" xfId="3" applyNumberFormat="1" applyFont="1" applyFill="1" applyBorder="1" applyAlignment="1">
      <alignment horizontal="center"/>
    </xf>
    <xf numFmtId="0" fontId="34" fillId="0" borderId="49" xfId="0" applyFont="1" applyBorder="1"/>
    <xf numFmtId="0" fontId="0" fillId="0" borderId="63" xfId="0" applyBorder="1"/>
    <xf numFmtId="0" fontId="34" fillId="0" borderId="63" xfId="0" applyFont="1" applyBorder="1"/>
    <xf numFmtId="169" fontId="8" fillId="0" borderId="40" xfId="3" applyNumberFormat="1" applyFont="1" applyBorder="1" applyAlignment="1">
      <alignment horizontal="center" wrapText="1"/>
    </xf>
    <xf numFmtId="0" fontId="5" fillId="4" borderId="2" xfId="0" applyFont="1" applyFill="1" applyBorder="1" applyAlignment="1">
      <alignment horizontal="center" vertical="center" wrapText="1"/>
    </xf>
    <xf numFmtId="0" fontId="9" fillId="0" borderId="19" xfId="0" applyFont="1" applyBorder="1" applyAlignment="1">
      <alignment horizontal="center"/>
    </xf>
    <xf numFmtId="0" fontId="9" fillId="12" borderId="9" xfId="0" applyFont="1" applyFill="1" applyBorder="1" applyAlignment="1">
      <alignment horizontal="center" vertical="center" wrapText="1"/>
    </xf>
    <xf numFmtId="0" fontId="0" fillId="4" borderId="44" xfId="0" applyFill="1" applyBorder="1"/>
    <xf numFmtId="0" fontId="0" fillId="4" borderId="24" xfId="0" applyFill="1" applyBorder="1"/>
    <xf numFmtId="0" fontId="0" fillId="4" borderId="60" xfId="0" applyFill="1" applyBorder="1"/>
    <xf numFmtId="0" fontId="0" fillId="0" borderId="20" xfId="0" applyBorder="1"/>
    <xf numFmtId="0" fontId="0" fillId="0" borderId="30" xfId="0" applyBorder="1"/>
    <xf numFmtId="0" fontId="0" fillId="4" borderId="39" xfId="0" applyFill="1" applyBorder="1"/>
    <xf numFmtId="0" fontId="0" fillId="0" borderId="38" xfId="0" applyBorder="1"/>
    <xf numFmtId="15" fontId="0" fillId="0" borderId="0" xfId="0" applyNumberFormat="1"/>
    <xf numFmtId="167" fontId="52" fillId="0" borderId="27" xfId="0" applyNumberFormat="1" applyFont="1" applyBorder="1" applyAlignment="1">
      <alignment horizontal="center"/>
    </xf>
    <xf numFmtId="1" fontId="11" fillId="0" borderId="28" xfId="0" applyNumberFormat="1" applyFont="1" applyBorder="1" applyAlignment="1">
      <alignment horizontal="center"/>
    </xf>
    <xf numFmtId="1" fontId="11" fillId="0" borderId="40" xfId="0" applyNumberFormat="1" applyFont="1" applyBorder="1" applyAlignment="1">
      <alignment horizontal="center"/>
    </xf>
    <xf numFmtId="0" fontId="3" fillId="0" borderId="0" xfId="0" quotePrefix="1" applyFont="1"/>
    <xf numFmtId="9" fontId="0" fillId="0" borderId="0" xfId="3" applyFont="1"/>
    <xf numFmtId="0" fontId="30" fillId="0" borderId="0" xfId="0" applyFont="1" applyAlignment="1">
      <alignment horizontal="center"/>
    </xf>
    <xf numFmtId="9" fontId="0" fillId="14" borderId="0" xfId="0" applyNumberFormat="1" applyFill="1" applyAlignment="1">
      <alignment horizontal="center"/>
    </xf>
    <xf numFmtId="10" fontId="0" fillId="14" borderId="0" xfId="0" applyNumberFormat="1" applyFill="1" applyAlignment="1">
      <alignment horizontal="center"/>
    </xf>
    <xf numFmtId="175" fontId="3" fillId="14" borderId="9" xfId="0" applyNumberFormat="1" applyFont="1" applyFill="1" applyBorder="1" applyAlignment="1">
      <alignment horizontal="center"/>
    </xf>
    <xf numFmtId="169" fontId="0" fillId="0" borderId="0" xfId="3" applyNumberFormat="1" applyFont="1"/>
    <xf numFmtId="167" fontId="3" fillId="0" borderId="0" xfId="0" applyNumberFormat="1" applyFont="1"/>
    <xf numFmtId="0" fontId="0" fillId="20" borderId="0" xfId="0" applyFill="1"/>
    <xf numFmtId="15" fontId="0" fillId="0" borderId="0" xfId="5" applyNumberFormat="1" applyFont="1"/>
    <xf numFmtId="167" fontId="0" fillId="0" borderId="0" xfId="0" applyNumberFormat="1"/>
    <xf numFmtId="0" fontId="57" fillId="0" borderId="0" xfId="0" applyFont="1"/>
    <xf numFmtId="174" fontId="3" fillId="0" borderId="0" xfId="0" applyNumberFormat="1" applyFont="1" applyAlignment="1">
      <alignment horizontal="center"/>
    </xf>
    <xf numFmtId="169" fontId="0" fillId="18" borderId="0" xfId="3" applyNumberFormat="1" applyFont="1" applyFill="1"/>
    <xf numFmtId="0" fontId="0" fillId="14" borderId="49" xfId="0" applyFill="1" applyBorder="1" applyAlignment="1">
      <alignment horizontal="center"/>
    </xf>
    <xf numFmtId="0" fontId="0" fillId="14" borderId="70" xfId="0" applyFill="1" applyBorder="1" applyAlignment="1">
      <alignment horizontal="center"/>
    </xf>
    <xf numFmtId="0" fontId="0" fillId="14" borderId="25" xfId="0" applyFill="1" applyBorder="1" applyAlignment="1">
      <alignment horizontal="center"/>
    </xf>
    <xf numFmtId="0" fontId="59" fillId="0" borderId="91" xfId="0" applyFont="1" applyBorder="1" applyAlignment="1">
      <alignment horizontal="center" vertical="center"/>
    </xf>
    <xf numFmtId="0" fontId="59" fillId="0" borderId="90" xfId="0" applyFont="1" applyBorder="1" applyAlignment="1">
      <alignment horizontal="center" vertical="center"/>
    </xf>
    <xf numFmtId="0" fontId="59" fillId="0" borderId="92" xfId="0" applyFont="1" applyBorder="1" applyAlignment="1">
      <alignment horizontal="center" vertical="center"/>
    </xf>
    <xf numFmtId="0" fontId="0" fillId="0" borderId="0" xfId="0" applyAlignment="1">
      <alignment horizontal="left"/>
    </xf>
    <xf numFmtId="0" fontId="60" fillId="12" borderId="102" xfId="0" applyFont="1" applyFill="1" applyBorder="1"/>
    <xf numFmtId="0" fontId="60" fillId="12" borderId="48" xfId="0" applyFont="1" applyFill="1" applyBorder="1"/>
    <xf numFmtId="0" fontId="61" fillId="12" borderId="27" xfId="0" applyFont="1" applyFill="1" applyBorder="1"/>
    <xf numFmtId="17" fontId="62" fillId="4" borderId="5" xfId="0" applyNumberFormat="1" applyFont="1" applyFill="1" applyBorder="1" applyAlignment="1">
      <alignment horizontal="center" textRotation="90"/>
    </xf>
    <xf numFmtId="0" fontId="10" fillId="0" borderId="60" xfId="1" applyFont="1" applyFill="1" applyBorder="1" applyAlignment="1">
      <alignment horizontal="center" vertical="center" textRotation="90"/>
    </xf>
    <xf numFmtId="0" fontId="10" fillId="0" borderId="70" xfId="1" applyFont="1" applyFill="1" applyBorder="1" applyAlignment="1">
      <alignment horizontal="center" vertical="center" textRotation="90"/>
    </xf>
    <xf numFmtId="17" fontId="62" fillId="4" borderId="9" xfId="0" applyNumberFormat="1" applyFont="1" applyFill="1" applyBorder="1" applyAlignment="1">
      <alignment horizontal="center" textRotation="90"/>
    </xf>
    <xf numFmtId="17" fontId="62" fillId="4" borderId="13" xfId="0" applyNumberFormat="1" applyFont="1" applyFill="1" applyBorder="1" applyAlignment="1">
      <alignment horizontal="center" textRotation="90"/>
    </xf>
    <xf numFmtId="1" fontId="11" fillId="4" borderId="19" xfId="0" applyNumberFormat="1" applyFont="1" applyFill="1" applyBorder="1" applyAlignment="1">
      <alignment horizontal="center"/>
    </xf>
    <xf numFmtId="167" fontId="11" fillId="0" borderId="70" xfId="0" applyNumberFormat="1" applyFont="1" applyBorder="1" applyAlignment="1">
      <alignment horizontal="center"/>
    </xf>
    <xf numFmtId="170" fontId="62" fillId="4" borderId="9" xfId="0" applyNumberFormat="1" applyFont="1" applyFill="1" applyBorder="1" applyAlignment="1">
      <alignment horizontal="center" textRotation="90"/>
    </xf>
    <xf numFmtId="167" fontId="11" fillId="0" borderId="23" xfId="0" applyNumberFormat="1" applyFont="1" applyBorder="1" applyAlignment="1">
      <alignment horizontal="center"/>
    </xf>
    <xf numFmtId="169" fontId="11" fillId="0" borderId="23" xfId="3" applyNumberFormat="1" applyFont="1" applyBorder="1" applyAlignment="1">
      <alignment horizontal="center"/>
    </xf>
    <xf numFmtId="167" fontId="11" fillId="0" borderId="28" xfId="0" applyNumberFormat="1" applyFont="1" applyBorder="1" applyAlignment="1">
      <alignment horizontal="center"/>
    </xf>
    <xf numFmtId="169" fontId="11" fillId="0" borderId="28" xfId="3" applyNumberFormat="1" applyFont="1" applyBorder="1" applyAlignment="1">
      <alignment horizontal="center"/>
    </xf>
    <xf numFmtId="0" fontId="11" fillId="0" borderId="40" xfId="0" applyFont="1" applyBorder="1" applyAlignment="1">
      <alignment horizontal="center"/>
    </xf>
    <xf numFmtId="169" fontId="11" fillId="0" borderId="40" xfId="3" applyNumberFormat="1" applyFont="1" applyBorder="1" applyAlignment="1">
      <alignment horizontal="center"/>
    </xf>
    <xf numFmtId="1" fontId="17" fillId="7" borderId="56" xfId="0" applyNumberFormat="1" applyFont="1" applyFill="1" applyBorder="1" applyAlignment="1">
      <alignment horizontal="left" vertical="top" wrapText="1"/>
    </xf>
    <xf numFmtId="0" fontId="13" fillId="22" borderId="0" xfId="0" applyFont="1" applyFill="1"/>
    <xf numFmtId="1" fontId="17" fillId="22" borderId="56" xfId="0" applyNumberFormat="1" applyFont="1" applyFill="1" applyBorder="1" applyAlignment="1">
      <alignment horizontal="left" vertical="top" wrapText="1"/>
    </xf>
    <xf numFmtId="9" fontId="3" fillId="18" borderId="10" xfId="3" applyFont="1" applyFill="1" applyBorder="1" applyAlignment="1">
      <alignment horizontal="center" vertical="center"/>
    </xf>
    <xf numFmtId="9" fontId="3" fillId="18" borderId="14" xfId="0" applyNumberFormat="1" applyFont="1" applyFill="1" applyBorder="1" applyAlignment="1">
      <alignment vertical="center"/>
    </xf>
    <xf numFmtId="0" fontId="3" fillId="18" borderId="11" xfId="0" applyFont="1" applyFill="1" applyBorder="1" applyAlignment="1">
      <alignment horizontal="center" vertical="center"/>
    </xf>
    <xf numFmtId="0" fontId="0" fillId="18" borderId="13" xfId="0" applyFill="1" applyBorder="1" applyAlignment="1">
      <alignment vertical="center"/>
    </xf>
    <xf numFmtId="0" fontId="9" fillId="12" borderId="11" xfId="0" applyFont="1" applyFill="1" applyBorder="1" applyAlignment="1">
      <alignment horizontal="center" vertical="center" wrapText="1"/>
    </xf>
    <xf numFmtId="0" fontId="11" fillId="0" borderId="13" xfId="0" applyFont="1" applyBorder="1" applyAlignment="1">
      <alignment horizontal="center" vertical="center" wrapText="1"/>
    </xf>
    <xf numFmtId="0" fontId="41" fillId="14" borderId="1" xfId="0" applyFont="1" applyFill="1" applyBorder="1" applyAlignment="1">
      <alignment horizontal="left" vertical="top" wrapText="1"/>
    </xf>
    <xf numFmtId="0" fontId="41" fillId="14" borderId="2" xfId="0" applyFont="1" applyFill="1" applyBorder="1" applyAlignment="1">
      <alignment horizontal="left" vertical="top" wrapText="1"/>
    </xf>
    <xf numFmtId="0" fontId="41" fillId="14" borderId="3" xfId="0" applyFont="1" applyFill="1" applyBorder="1" applyAlignment="1">
      <alignment horizontal="left" vertical="top" wrapText="1"/>
    </xf>
    <xf numFmtId="0" fontId="41" fillId="14" borderId="4" xfId="0" applyFont="1" applyFill="1" applyBorder="1" applyAlignment="1">
      <alignment horizontal="left" vertical="top" wrapText="1"/>
    </xf>
    <xf numFmtId="0" fontId="41" fillId="14" borderId="0" xfId="0" applyFont="1" applyFill="1" applyAlignment="1">
      <alignment horizontal="left" vertical="top" wrapText="1"/>
    </xf>
    <xf numFmtId="0" fontId="41" fillId="14" borderId="5" xfId="0" applyFont="1" applyFill="1" applyBorder="1" applyAlignment="1">
      <alignment horizontal="left" vertical="top"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5" fillId="4" borderId="11" xfId="0" applyFont="1" applyFill="1" applyBorder="1" applyAlignment="1">
      <alignment horizontal="center" vertical="center"/>
    </xf>
    <xf numFmtId="0" fontId="0" fillId="0" borderId="13" xfId="0" applyBorder="1" applyAlignment="1">
      <alignment horizontal="center" vertical="center"/>
    </xf>
    <xf numFmtId="0" fontId="3" fillId="4" borderId="11" xfId="0" applyFont="1" applyFill="1" applyBorder="1" applyAlignment="1">
      <alignment horizontal="center"/>
    </xf>
    <xf numFmtId="0" fontId="0" fillId="4" borderId="13" xfId="0" applyFill="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0" xfId="0" applyFont="1" applyAlignment="1">
      <alignment horizont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53" xfId="0" applyFont="1" applyFill="1" applyBorder="1" applyAlignment="1">
      <alignment horizontal="center" vertical="center"/>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0" fillId="0" borderId="7" xfId="0" applyBorder="1" applyAlignment="1">
      <alignment horizontal="center"/>
    </xf>
    <xf numFmtId="0" fontId="3" fillId="14" borderId="9" xfId="0" applyFont="1" applyFill="1" applyBorder="1" applyAlignment="1">
      <alignment horizontal="center"/>
    </xf>
    <xf numFmtId="0" fontId="3" fillId="14" borderId="11" xfId="0"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11" fillId="0" borderId="29" xfId="0" applyFont="1" applyBorder="1" applyAlignment="1">
      <alignment horizontal="center"/>
    </xf>
    <xf numFmtId="0" fontId="11" fillId="0" borderId="48" xfId="0" applyFont="1" applyBorder="1" applyAlignment="1">
      <alignment horizontal="center"/>
    </xf>
    <xf numFmtId="1" fontId="11" fillId="0" borderId="24" xfId="0" applyNumberFormat="1" applyFont="1" applyBorder="1" applyAlignment="1">
      <alignment horizontal="center"/>
    </xf>
    <xf numFmtId="1" fontId="11" fillId="0" borderId="26" xfId="0" applyNumberFormat="1" applyFont="1" applyBorder="1" applyAlignment="1">
      <alignment horizontal="center"/>
    </xf>
    <xf numFmtId="0" fontId="11" fillId="0" borderId="31" xfId="0" applyFont="1" applyBorder="1" applyAlignment="1">
      <alignment horizontal="center"/>
    </xf>
    <xf numFmtId="0" fontId="11" fillId="0" borderId="34" xfId="0" applyFont="1" applyBorder="1" applyAlignment="1">
      <alignment horizontal="center"/>
    </xf>
    <xf numFmtId="1" fontId="11" fillId="0" borderId="39" xfId="0" applyNumberFormat="1" applyFont="1" applyBorder="1" applyAlignment="1">
      <alignment horizontal="center"/>
    </xf>
    <xf numFmtId="1" fontId="11" fillId="0" borderId="43" xfId="0" applyNumberFormat="1" applyFont="1" applyBorder="1" applyAlignment="1">
      <alignment horizontal="center"/>
    </xf>
    <xf numFmtId="0" fontId="9" fillId="0" borderId="9" xfId="0" applyFont="1" applyBorder="1" applyAlignment="1">
      <alignment horizontal="center"/>
    </xf>
    <xf numFmtId="0" fontId="9" fillId="0" borderId="9" xfId="0" applyFont="1" applyBorder="1" applyAlignment="1">
      <alignment horizontal="center" vertical="center"/>
    </xf>
    <xf numFmtId="0" fontId="9" fillId="14" borderId="9" xfId="0" applyFont="1" applyFill="1" applyBorder="1" applyAlignment="1">
      <alignment horizontal="center"/>
    </xf>
    <xf numFmtId="1" fontId="9" fillId="14" borderId="14" xfId="0" applyNumberFormat="1" applyFont="1" applyFill="1" applyBorder="1" applyAlignment="1">
      <alignment horizontal="center"/>
    </xf>
    <xf numFmtId="0" fontId="11" fillId="0" borderId="15" xfId="0" applyFont="1" applyBorder="1" applyAlignment="1">
      <alignment horizontal="center"/>
    </xf>
    <xf numFmtId="0" fontId="11" fillId="0" borderId="47" xfId="0" applyFont="1" applyBorder="1" applyAlignment="1">
      <alignment horizontal="center"/>
    </xf>
    <xf numFmtId="0" fontId="0" fillId="0" borderId="48" xfId="0" applyBorder="1" applyAlignment="1">
      <alignment horizontal="center"/>
    </xf>
    <xf numFmtId="0" fontId="11" fillId="0" borderId="29" xfId="0" applyFont="1" applyBorder="1" applyAlignment="1">
      <alignment horizontal="right"/>
    </xf>
    <xf numFmtId="0" fontId="0" fillId="0" borderId="48" xfId="0" applyBorder="1" applyAlignment="1">
      <alignment horizontal="right"/>
    </xf>
    <xf numFmtId="0" fontId="11" fillId="0" borderId="11"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xf numFmtId="0" fontId="9" fillId="4" borderId="9" xfId="0" applyFont="1" applyFill="1" applyBorder="1" applyAlignment="1">
      <alignment horizontal="center" vertical="center"/>
    </xf>
    <xf numFmtId="0" fontId="11" fillId="0" borderId="11" xfId="0" applyFont="1" applyBorder="1" applyAlignment="1">
      <alignment horizontal="center" wrapText="1"/>
    </xf>
    <xf numFmtId="0" fontId="11" fillId="0" borderId="12" xfId="0" applyFont="1" applyBorder="1" applyAlignment="1">
      <alignment horizontal="center" wrapText="1"/>
    </xf>
    <xf numFmtId="0" fontId="11" fillId="0" borderId="13" xfId="0" applyFont="1" applyBorder="1" applyAlignment="1">
      <alignment horizontal="center" wrapText="1"/>
    </xf>
    <xf numFmtId="1" fontId="11" fillId="0" borderId="11" xfId="0" applyNumberFormat="1" applyFont="1" applyBorder="1" applyAlignment="1">
      <alignment horizontal="center" vertical="center"/>
    </xf>
    <xf numFmtId="1" fontId="11" fillId="0" borderId="13" xfId="0" applyNumberFormat="1"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9" fillId="4" borderId="11" xfId="0" applyFont="1" applyFill="1" applyBorder="1" applyAlignment="1">
      <alignment horizontal="center" vertical="center"/>
    </xf>
    <xf numFmtId="0" fontId="9" fillId="0" borderId="24" xfId="0" applyFont="1" applyBorder="1" applyAlignment="1">
      <alignment horizontal="center"/>
    </xf>
    <xf numFmtId="0" fontId="9" fillId="0" borderId="27"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1" fillId="0" borderId="37" xfId="0" applyFont="1" applyBorder="1" applyAlignment="1">
      <alignment horizontal="center"/>
    </xf>
    <xf numFmtId="0" fontId="11" fillId="0" borderId="41" xfId="0" applyFont="1" applyBorder="1" applyAlignment="1">
      <alignment horizontal="center"/>
    </xf>
    <xf numFmtId="0" fontId="11" fillId="0" borderId="38" xfId="0" applyFont="1" applyBorder="1" applyAlignment="1">
      <alignment horizontal="center"/>
    </xf>
    <xf numFmtId="0" fontId="0" fillId="0" borderId="0" xfId="0" applyAlignment="1">
      <alignment horizontal="center"/>
    </xf>
    <xf numFmtId="0" fontId="8" fillId="0" borderId="37" xfId="0" applyFont="1" applyBorder="1" applyAlignment="1">
      <alignment horizontal="center" wrapText="1"/>
    </xf>
    <xf numFmtId="0" fontId="8" fillId="0" borderId="38" xfId="0" applyFont="1" applyBorder="1" applyAlignment="1">
      <alignment horizontal="center" wrapText="1"/>
    </xf>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0" fontId="9" fillId="0" borderId="44" xfId="0" applyFont="1" applyBorder="1" applyAlignment="1">
      <alignment horizontal="center"/>
    </xf>
    <xf numFmtId="0" fontId="9" fillId="0" borderId="16" xfId="0" applyFont="1" applyBorder="1" applyAlignment="1">
      <alignment horizontal="center"/>
    </xf>
    <xf numFmtId="0" fontId="9" fillId="0" borderId="45" xfId="0" applyFont="1" applyBorder="1" applyAlignment="1">
      <alignment horizontal="center"/>
    </xf>
    <xf numFmtId="0" fontId="9" fillId="0" borderId="46" xfId="0" applyFont="1" applyBorder="1" applyAlignment="1">
      <alignment horizontal="center"/>
    </xf>
    <xf numFmtId="0" fontId="8" fillId="0" borderId="29" xfId="0" applyFont="1" applyBorder="1" applyAlignment="1">
      <alignment horizontal="center" wrapText="1"/>
    </xf>
    <xf numFmtId="0" fontId="8" fillId="0" borderId="30" xfId="0" applyFont="1" applyBorder="1" applyAlignment="1">
      <alignment horizontal="center" wrapText="1"/>
    </xf>
    <xf numFmtId="0" fontId="8" fillId="0" borderId="31" xfId="0" applyFont="1" applyBorder="1" applyAlignment="1">
      <alignment horizontal="left" wrapText="1"/>
    </xf>
    <xf numFmtId="0" fontId="8" fillId="0" borderId="32" xfId="0" applyFont="1" applyBorder="1" applyAlignment="1">
      <alignment horizontal="left" wrapText="1"/>
    </xf>
    <xf numFmtId="0" fontId="8" fillId="0" borderId="31" xfId="0" applyFont="1" applyBorder="1" applyAlignment="1">
      <alignment horizontal="center" wrapText="1"/>
    </xf>
    <xf numFmtId="0" fontId="8" fillId="0" borderId="32" xfId="0" applyFont="1" applyBorder="1" applyAlignment="1">
      <alignment horizontal="center" wrapText="1"/>
    </xf>
    <xf numFmtId="0" fontId="8" fillId="0" borderId="29" xfId="0" applyFont="1" applyBorder="1" applyAlignment="1">
      <alignment horizontal="left" wrapText="1"/>
    </xf>
    <xf numFmtId="0" fontId="8" fillId="0" borderId="30" xfId="0" applyFont="1" applyBorder="1" applyAlignment="1">
      <alignment horizontal="left" wrapText="1"/>
    </xf>
    <xf numFmtId="0" fontId="8" fillId="0" borderId="24" xfId="0" applyFont="1" applyBorder="1" applyAlignment="1">
      <alignment horizontal="left" wrapText="1"/>
    </xf>
    <xf numFmtId="0" fontId="8" fillId="0" borderId="26" xfId="0" applyFont="1" applyBorder="1" applyAlignment="1">
      <alignment horizontal="left" wrapText="1"/>
    </xf>
    <xf numFmtId="0" fontId="8" fillId="0" borderId="19" xfId="0" applyFont="1" applyBorder="1" applyAlignment="1">
      <alignment horizontal="left"/>
    </xf>
    <xf numFmtId="0" fontId="8" fillId="0" borderId="20" xfId="0" applyFont="1" applyBorder="1" applyAlignment="1">
      <alignment horizontal="left"/>
    </xf>
    <xf numFmtId="0" fontId="34" fillId="0" borderId="49" xfId="0" applyFont="1" applyBorder="1" applyAlignment="1">
      <alignment horizontal="left" vertical="top" wrapText="1"/>
    </xf>
    <xf numFmtId="0" fontId="34" fillId="0" borderId="63" xfId="0" applyFont="1" applyBorder="1" applyAlignment="1">
      <alignment horizontal="left" vertical="top" wrapText="1"/>
    </xf>
    <xf numFmtId="0" fontId="0" fillId="0" borderId="63" xfId="0" applyBorder="1" applyAlignment="1">
      <alignment horizontal="left" vertical="top" wrapText="1"/>
    </xf>
    <xf numFmtId="0" fontId="0" fillId="0" borderId="70" xfId="0" applyBorder="1" applyAlignment="1">
      <alignment horizontal="left" vertical="top" wrapText="1"/>
    </xf>
    <xf numFmtId="0" fontId="9" fillId="0" borderId="11" xfId="0" applyFont="1" applyBorder="1" applyAlignment="1">
      <alignment horizontal="center"/>
    </xf>
    <xf numFmtId="0" fontId="9" fillId="0" borderId="9" xfId="0" applyFont="1" applyBorder="1" applyAlignment="1">
      <alignment horizontal="right"/>
    </xf>
    <xf numFmtId="169" fontId="9" fillId="0" borderId="9" xfId="3" applyNumberFormat="1" applyFont="1" applyBorder="1" applyAlignment="1">
      <alignment horizontal="center"/>
    </xf>
    <xf numFmtId="169" fontId="9" fillId="0" borderId="11" xfId="3" applyNumberFormat="1" applyFont="1" applyBorder="1" applyAlignment="1">
      <alignment horizontal="center"/>
    </xf>
    <xf numFmtId="1" fontId="11" fillId="0" borderId="60" xfId="0" applyNumberFormat="1" applyFont="1" applyBorder="1" applyAlignment="1">
      <alignment horizontal="center"/>
    </xf>
    <xf numFmtId="1" fontId="11" fillId="0" borderId="22" xfId="0" applyNumberFormat="1" applyFont="1" applyBorder="1" applyAlignment="1">
      <alignment horizontal="center"/>
    </xf>
    <xf numFmtId="1" fontId="11" fillId="14" borderId="14" xfId="0" applyNumberFormat="1" applyFont="1" applyFill="1" applyBorder="1" applyAlignment="1">
      <alignment horizontal="center"/>
    </xf>
    <xf numFmtId="1" fontId="11" fillId="14" borderId="6" xfId="0" applyNumberFormat="1" applyFont="1" applyFill="1" applyBorder="1" applyAlignment="1">
      <alignment horizontal="center"/>
    </xf>
    <xf numFmtId="1" fontId="11" fillId="0" borderId="44" xfId="0" applyNumberFormat="1" applyFont="1" applyBorder="1" applyAlignment="1">
      <alignment horizontal="center"/>
    </xf>
    <xf numFmtId="1" fontId="11" fillId="0" borderId="17" xfId="0" applyNumberFormat="1" applyFont="1" applyBorder="1" applyAlignment="1">
      <alignment horizontal="center"/>
    </xf>
    <xf numFmtId="1" fontId="11" fillId="0" borderId="99" xfId="0" applyNumberFormat="1" applyFont="1" applyBorder="1" applyAlignment="1">
      <alignment horizontal="center"/>
    </xf>
    <xf numFmtId="1" fontId="11" fillId="0" borderId="80" xfId="0" applyNumberFormat="1" applyFont="1" applyBorder="1" applyAlignment="1">
      <alignment horizontal="center"/>
    </xf>
    <xf numFmtId="1" fontId="11" fillId="0" borderId="94" xfId="0" applyNumberFormat="1" applyFont="1" applyBorder="1" applyAlignment="1">
      <alignment horizontal="center"/>
    </xf>
    <xf numFmtId="1" fontId="11" fillId="0" borderId="71" xfId="0" applyNumberFormat="1" applyFont="1" applyBorder="1" applyAlignment="1">
      <alignment horizontal="center"/>
    </xf>
    <xf numFmtId="0" fontId="34" fillId="0" borderId="70" xfId="0" applyFont="1" applyBorder="1" applyAlignment="1">
      <alignment horizontal="left" vertical="top" wrapText="1"/>
    </xf>
    <xf numFmtId="0" fontId="48" fillId="0" borderId="0" xfId="0" applyFont="1" applyAlignment="1">
      <alignment horizontal="right" vertical="top"/>
    </xf>
    <xf numFmtId="0" fontId="34" fillId="0" borderId="0" xfId="0" applyFont="1" applyAlignment="1">
      <alignment horizontal="right" vertical="top"/>
    </xf>
    <xf numFmtId="168" fontId="7" fillId="4" borderId="11" xfId="0" applyNumberFormat="1" applyFont="1" applyFill="1" applyBorder="1" applyAlignment="1">
      <alignment horizontal="center" wrapText="1"/>
    </xf>
    <xf numFmtId="168" fontId="7" fillId="4" borderId="12" xfId="0" applyNumberFormat="1" applyFont="1" applyFill="1" applyBorder="1" applyAlignment="1">
      <alignment horizontal="center" wrapText="1"/>
    </xf>
    <xf numFmtId="168" fontId="7" fillId="4" borderId="13" xfId="0" applyNumberFormat="1" applyFont="1" applyFill="1" applyBorder="1" applyAlignment="1">
      <alignment horizontal="center" wrapText="1"/>
    </xf>
    <xf numFmtId="0" fontId="9" fillId="0" borderId="6" xfId="0" applyFont="1" applyBorder="1" applyAlignment="1">
      <alignment horizontal="center" wrapText="1"/>
    </xf>
    <xf numFmtId="0" fontId="9" fillId="0" borderId="7" xfId="0" applyFont="1" applyBorder="1" applyAlignment="1">
      <alignment horizontal="center"/>
    </xf>
    <xf numFmtId="0" fontId="9" fillId="0" borderId="8" xfId="0" applyFont="1" applyBorder="1" applyAlignment="1">
      <alignment horizontal="center"/>
    </xf>
    <xf numFmtId="0" fontId="43" fillId="4" borderId="9" xfId="0" applyFont="1" applyFill="1" applyBorder="1" applyAlignment="1">
      <alignment horizontal="center" vertical="center"/>
    </xf>
    <xf numFmtId="0" fontId="43" fillId="4" borderId="11" xfId="0" applyFont="1" applyFill="1" applyBorder="1" applyAlignment="1">
      <alignment horizontal="center" vertical="center"/>
    </xf>
    <xf numFmtId="0" fontId="11" fillId="0" borderId="9" xfId="0" applyFont="1" applyBorder="1" applyAlignment="1">
      <alignment horizontal="center" wrapText="1"/>
    </xf>
    <xf numFmtId="0" fontId="11" fillId="0" borderId="9" xfId="0" applyFont="1" applyBorder="1" applyAlignment="1">
      <alignment horizontal="center"/>
    </xf>
    <xf numFmtId="1" fontId="11" fillId="0" borderId="9" xfId="0" applyNumberFormat="1" applyFont="1" applyBorder="1" applyAlignment="1">
      <alignment horizontal="center"/>
    </xf>
    <xf numFmtId="0" fontId="9" fillId="0" borderId="12" xfId="0" applyFont="1" applyBorder="1" applyAlignment="1">
      <alignment horizontal="center"/>
    </xf>
    <xf numFmtId="1" fontId="11" fillId="0" borderId="61" xfId="0" applyNumberFormat="1" applyFont="1" applyBorder="1" applyAlignment="1">
      <alignment horizontal="center"/>
    </xf>
    <xf numFmtId="1" fontId="11" fillId="0" borderId="78" xfId="0" applyNumberFormat="1" applyFont="1" applyBorder="1" applyAlignment="1">
      <alignment horizontal="center"/>
    </xf>
    <xf numFmtId="0" fontId="50" fillId="25" borderId="100" xfId="4" applyFont="1" applyFill="1" applyBorder="1" applyAlignment="1">
      <alignment horizontal="center" vertical="center" wrapText="1"/>
    </xf>
    <xf numFmtId="0" fontId="34" fillId="0" borderId="101" xfId="0" applyFont="1" applyBorder="1" applyAlignment="1">
      <alignment vertical="center"/>
    </xf>
    <xf numFmtId="0" fontId="50" fillId="26" borderId="100" xfId="4" applyFont="1" applyFill="1" applyBorder="1" applyAlignment="1">
      <alignment horizontal="center" vertical="center" wrapText="1"/>
    </xf>
    <xf numFmtId="0" fontId="39" fillId="0" borderId="101" xfId="0" applyFont="1" applyBorder="1" applyAlignment="1">
      <alignment vertical="center"/>
    </xf>
    <xf numFmtId="0" fontId="50" fillId="16" borderId="100" xfId="4" applyFont="1" applyFill="1" applyBorder="1" applyAlignment="1">
      <alignment horizontal="center" vertical="center" wrapText="1"/>
    </xf>
    <xf numFmtId="0" fontId="18" fillId="17" borderId="54" xfId="0" applyFont="1" applyFill="1" applyBorder="1" applyAlignment="1">
      <alignment horizontal="left" vertical="top" wrapText="1"/>
    </xf>
    <xf numFmtId="0" fontId="18" fillId="17" borderId="55" xfId="0" applyFont="1" applyFill="1" applyBorder="1" applyAlignment="1">
      <alignment horizontal="left" vertical="top" wrapText="1"/>
    </xf>
    <xf numFmtId="0" fontId="50" fillId="4" borderId="100" xfId="4" applyFont="1" applyFill="1" applyBorder="1" applyAlignment="1">
      <alignment horizontal="center" vertical="center" wrapText="1"/>
    </xf>
    <xf numFmtId="0" fontId="0" fillId="0" borderId="101" xfId="0" applyBorder="1"/>
    <xf numFmtId="0" fontId="18" fillId="9" borderId="54" xfId="0" applyFont="1" applyFill="1" applyBorder="1" applyAlignment="1">
      <alignment horizontal="left" vertical="top" wrapText="1"/>
    </xf>
    <xf numFmtId="0" fontId="18" fillId="9" borderId="55" xfId="0" applyFont="1" applyFill="1" applyBorder="1" applyAlignment="1">
      <alignment horizontal="left" vertical="top" wrapText="1"/>
    </xf>
    <xf numFmtId="0" fontId="47" fillId="6" borderId="54" xfId="4" applyFont="1" applyFill="1" applyBorder="1" applyAlignment="1">
      <alignment horizontal="left" vertical="top" wrapText="1"/>
    </xf>
    <xf numFmtId="0" fontId="47" fillId="6" borderId="55" xfId="4" applyFont="1" applyFill="1" applyBorder="1" applyAlignment="1">
      <alignment horizontal="left" vertical="top" wrapText="1"/>
    </xf>
    <xf numFmtId="0" fontId="16" fillId="6" borderId="54" xfId="0" applyFont="1" applyFill="1" applyBorder="1" applyAlignment="1">
      <alignment horizontal="left" vertical="top" wrapText="1"/>
    </xf>
    <xf numFmtId="0" fontId="16" fillId="6" borderId="55" xfId="0" applyFont="1" applyFill="1" applyBorder="1" applyAlignment="1">
      <alignment horizontal="left" vertical="top" wrapText="1"/>
    </xf>
    <xf numFmtId="0" fontId="0" fillId="12" borderId="79" xfId="0" applyFill="1" applyBorder="1" applyAlignment="1">
      <alignment vertical="top" wrapText="1"/>
    </xf>
    <xf numFmtId="0" fontId="0" fillId="12" borderId="34" xfId="0" applyFill="1" applyBorder="1" applyAlignment="1">
      <alignment vertical="top" wrapText="1"/>
    </xf>
    <xf numFmtId="0" fontId="0" fillId="12" borderId="33" xfId="0" applyFill="1" applyBorder="1" applyAlignment="1">
      <alignment vertical="top" wrapText="1"/>
    </xf>
    <xf numFmtId="0" fontId="0" fillId="12" borderId="88" xfId="0" applyFill="1" applyBorder="1" applyAlignment="1">
      <alignment vertical="top" wrapText="1"/>
    </xf>
    <xf numFmtId="0" fontId="0" fillId="12" borderId="0" xfId="0" applyFill="1" applyAlignment="1">
      <alignment vertical="top" wrapText="1"/>
    </xf>
    <xf numFmtId="0" fontId="0" fillId="12" borderId="89" xfId="0" applyFill="1" applyBorder="1" applyAlignment="1">
      <alignment vertical="top" wrapText="1"/>
    </xf>
    <xf numFmtId="0" fontId="0" fillId="12" borderId="88" xfId="0" applyFill="1" applyBorder="1" applyAlignment="1">
      <alignment wrapText="1"/>
    </xf>
    <xf numFmtId="0" fontId="0" fillId="12" borderId="0" xfId="0" applyFill="1" applyAlignment="1">
      <alignment wrapText="1"/>
    </xf>
    <xf numFmtId="0" fontId="0" fillId="12" borderId="89" xfId="0" applyFill="1" applyBorder="1" applyAlignment="1">
      <alignment wrapText="1"/>
    </xf>
    <xf numFmtId="0" fontId="0" fillId="12" borderId="22" xfId="0" applyFill="1" applyBorder="1" applyAlignment="1">
      <alignment wrapText="1"/>
    </xf>
    <xf numFmtId="0" fontId="0" fillId="12" borderId="51" xfId="0" applyFill="1" applyBorder="1" applyAlignment="1">
      <alignment wrapText="1"/>
    </xf>
    <xf numFmtId="0" fontId="0" fillId="12" borderId="21" xfId="0" applyFill="1" applyBorder="1" applyAlignment="1">
      <alignment wrapText="1"/>
    </xf>
    <xf numFmtId="0" fontId="3" fillId="0" borderId="27" xfId="0" applyFont="1" applyBorder="1" applyAlignment="1">
      <alignment horizontal="center" wrapText="1"/>
    </xf>
    <xf numFmtId="0" fontId="3" fillId="0" borderId="25" xfId="0" applyFont="1" applyBorder="1" applyAlignment="1">
      <alignment horizontal="center" wrapText="1"/>
    </xf>
    <xf numFmtId="0" fontId="3" fillId="14" borderId="1" xfId="0" applyFont="1" applyFill="1" applyBorder="1" applyAlignment="1">
      <alignment horizontal="center" vertical="top" wrapText="1"/>
    </xf>
    <xf numFmtId="0" fontId="3" fillId="14" borderId="2" xfId="0" applyFont="1" applyFill="1" applyBorder="1" applyAlignment="1">
      <alignment horizontal="center" vertical="top" wrapText="1"/>
    </xf>
    <xf numFmtId="0" fontId="3" fillId="14" borderId="3" xfId="0" applyFont="1" applyFill="1" applyBorder="1" applyAlignment="1">
      <alignment horizontal="center" vertical="top" wrapText="1"/>
    </xf>
    <xf numFmtId="0" fontId="3" fillId="14" borderId="4" xfId="0" applyFont="1" applyFill="1" applyBorder="1" applyAlignment="1">
      <alignment horizontal="center" vertical="top" wrapText="1"/>
    </xf>
    <xf numFmtId="0" fontId="3" fillId="14" borderId="0" xfId="0" applyFont="1" applyFill="1" applyAlignment="1">
      <alignment horizontal="center" vertical="top" wrapText="1"/>
    </xf>
    <xf numFmtId="0" fontId="3" fillId="14" borderId="5" xfId="0" applyFont="1" applyFill="1" applyBorder="1" applyAlignment="1">
      <alignment horizontal="center" vertical="top" wrapText="1"/>
    </xf>
    <xf numFmtId="0" fontId="3" fillId="14" borderId="6" xfId="0" applyFont="1" applyFill="1" applyBorder="1" applyAlignment="1">
      <alignment horizontal="center" vertical="top" wrapText="1"/>
    </xf>
    <xf numFmtId="0" fontId="3" fillId="14" borderId="7" xfId="0" applyFont="1" applyFill="1" applyBorder="1" applyAlignment="1">
      <alignment horizontal="center" vertical="top" wrapText="1"/>
    </xf>
    <xf numFmtId="0" fontId="3" fillId="14" borderId="8" xfId="0" applyFont="1" applyFill="1" applyBorder="1" applyAlignment="1">
      <alignment horizontal="center" vertical="top" wrapText="1"/>
    </xf>
    <xf numFmtId="0" fontId="3" fillId="14" borderId="1"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3" fillId="14" borderId="0" xfId="0" applyFont="1" applyFill="1" applyAlignment="1">
      <alignment horizontal="center" vertical="center" wrapText="1"/>
    </xf>
    <xf numFmtId="0" fontId="3" fillId="14" borderId="5"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14" borderId="7" xfId="0" applyFont="1" applyFill="1" applyBorder="1" applyAlignment="1">
      <alignment horizontal="center" vertical="center" wrapText="1"/>
    </xf>
    <xf numFmtId="0" fontId="3" fillId="14" borderId="8" xfId="0" applyFont="1" applyFill="1" applyBorder="1" applyAlignment="1">
      <alignment horizontal="center" vertical="center" wrapText="1"/>
    </xf>
    <xf numFmtId="0" fontId="31" fillId="12" borderId="102" xfId="0" applyFont="1" applyFill="1" applyBorder="1" applyAlignment="1">
      <alignment horizontal="center"/>
    </xf>
    <xf numFmtId="0" fontId="31" fillId="12" borderId="48" xfId="0" applyFont="1" applyFill="1" applyBorder="1" applyAlignment="1">
      <alignment horizontal="center"/>
    </xf>
    <xf numFmtId="0" fontId="31" fillId="12" borderId="27" xfId="0" applyFont="1" applyFill="1" applyBorder="1" applyAlignment="1">
      <alignment horizontal="center"/>
    </xf>
    <xf numFmtId="0" fontId="26" fillId="14" borderId="82" xfId="4" applyFill="1" applyBorder="1" applyAlignment="1">
      <alignment vertical="top" wrapText="1"/>
    </xf>
    <xf numFmtId="0" fontId="26" fillId="14" borderId="83" xfId="4" applyFill="1" applyBorder="1" applyAlignment="1">
      <alignment vertical="top" wrapText="1"/>
    </xf>
    <xf numFmtId="0" fontId="26" fillId="14" borderId="84" xfId="4" applyFill="1" applyBorder="1" applyAlignment="1">
      <alignment vertical="top" wrapText="1"/>
    </xf>
    <xf numFmtId="0" fontId="26" fillId="14" borderId="85" xfId="4" applyFill="1" applyBorder="1" applyAlignment="1">
      <alignment vertical="top" wrapText="1"/>
    </xf>
    <xf numFmtId="0" fontId="26" fillId="14" borderId="86" xfId="4" applyFill="1" applyBorder="1" applyAlignment="1">
      <alignment vertical="top" wrapText="1"/>
    </xf>
    <xf numFmtId="0" fontId="26" fillId="14" borderId="87" xfId="4" applyFill="1" applyBorder="1" applyAlignment="1">
      <alignment vertical="top" wrapText="1"/>
    </xf>
    <xf numFmtId="0" fontId="0" fillId="0" borderId="25" xfId="0" applyBorder="1" applyAlignment="1">
      <alignment vertical="top" wrapText="1"/>
    </xf>
    <xf numFmtId="0" fontId="0" fillId="0" borderId="25" xfId="0" applyBorder="1" applyAlignment="1">
      <alignment horizontal="left" vertical="top" wrapText="1"/>
    </xf>
    <xf numFmtId="168" fontId="42" fillId="4" borderId="11" xfId="0" applyNumberFormat="1" applyFont="1" applyFill="1" applyBorder="1" applyAlignment="1">
      <alignment horizontal="center" wrapText="1"/>
    </xf>
    <xf numFmtId="168" fontId="42" fillId="4" borderId="12" xfId="0" applyNumberFormat="1" applyFont="1" applyFill="1" applyBorder="1" applyAlignment="1">
      <alignment horizontal="center" wrapText="1"/>
    </xf>
    <xf numFmtId="168" fontId="42" fillId="4" borderId="13" xfId="0" applyNumberFormat="1" applyFont="1" applyFill="1" applyBorder="1" applyAlignment="1">
      <alignment horizont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xf>
    <xf numFmtId="0" fontId="11" fillId="0" borderId="32" xfId="0" applyFont="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xf>
    <xf numFmtId="0" fontId="0" fillId="0" borderId="51" xfId="0" applyBorder="1" applyAlignment="1">
      <alignment horizontal="center" vertical="center"/>
    </xf>
    <xf numFmtId="0" fontId="0" fillId="0" borderId="20" xfId="0" applyBorder="1" applyAlignment="1">
      <alignment horizontal="center" vertical="center"/>
    </xf>
    <xf numFmtId="0" fontId="9" fillId="22" borderId="9" xfId="0" applyFont="1" applyFill="1" applyBorder="1" applyAlignment="1">
      <alignment horizontal="center" vertical="center" wrapText="1"/>
    </xf>
    <xf numFmtId="0" fontId="9" fillId="22" borderId="9" xfId="0" applyFont="1" applyFill="1" applyBorder="1" applyAlignment="1">
      <alignment horizontal="center" vertical="center"/>
    </xf>
    <xf numFmtId="0" fontId="9" fillId="0" borderId="15" xfId="0" applyFont="1" applyBorder="1" applyAlignment="1">
      <alignment horizontal="center"/>
    </xf>
    <xf numFmtId="0" fontId="9" fillId="14" borderId="11" xfId="0" applyFont="1" applyFill="1" applyBorder="1" applyAlignment="1">
      <alignment horizontal="center"/>
    </xf>
    <xf numFmtId="0" fontId="11" fillId="14" borderId="12" xfId="0" applyFont="1" applyFill="1" applyBorder="1" applyAlignment="1">
      <alignment horizontal="center"/>
    </xf>
    <xf numFmtId="0" fontId="11" fillId="0" borderId="30" xfId="0" applyFont="1" applyBorder="1" applyAlignment="1">
      <alignment horizontal="center"/>
    </xf>
    <xf numFmtId="0" fontId="33" fillId="5" borderId="71" xfId="0" applyFont="1" applyFill="1" applyBorder="1" applyAlignment="1">
      <alignment horizontal="center"/>
    </xf>
    <xf numFmtId="0" fontId="34" fillId="0" borderId="7" xfId="0" applyFont="1" applyBorder="1" applyAlignment="1">
      <alignment horizontal="center"/>
    </xf>
    <xf numFmtId="0" fontId="11" fillId="10" borderId="15" xfId="0" applyFont="1" applyFill="1" applyBorder="1" applyAlignment="1">
      <alignment horizontal="center"/>
    </xf>
    <xf numFmtId="0" fontId="11" fillId="10" borderId="47" xfId="0" applyFont="1" applyFill="1" applyBorder="1" applyAlignment="1">
      <alignment horizontal="center"/>
    </xf>
    <xf numFmtId="0" fontId="9" fillId="0" borderId="31" xfId="0" applyFont="1" applyBorder="1" applyAlignment="1">
      <alignment horizontal="center" vertical="center" wrapText="1"/>
    </xf>
    <xf numFmtId="0" fontId="42" fillId="4" borderId="11" xfId="0" applyFont="1" applyFill="1" applyBorder="1" applyAlignment="1">
      <alignment horizontal="center"/>
    </xf>
    <xf numFmtId="0" fontId="44" fillId="4" borderId="12" xfId="0" applyFont="1" applyFill="1" applyBorder="1" applyAlignment="1">
      <alignment horizontal="center"/>
    </xf>
    <xf numFmtId="0" fontId="44" fillId="4" borderId="13" xfId="0" applyFont="1" applyFill="1" applyBorder="1" applyAlignment="1">
      <alignment horizontal="center"/>
    </xf>
    <xf numFmtId="0" fontId="3" fillId="18" borderId="11" xfId="0" applyFont="1" applyFill="1" applyBorder="1" applyAlignment="1">
      <alignment horizontal="center"/>
    </xf>
    <xf numFmtId="0" fontId="0" fillId="18" borderId="13" xfId="0" applyFill="1" applyBorder="1"/>
    <xf numFmtId="10" fontId="3" fillId="18" borderId="10" xfId="3" applyNumberFormat="1" applyFont="1" applyFill="1" applyBorder="1" applyAlignment="1">
      <alignment horizontal="center" vertical="center"/>
    </xf>
    <xf numFmtId="0" fontId="3" fillId="18" borderId="14" xfId="0" applyFont="1" applyFill="1" applyBorder="1" applyAlignment="1">
      <alignment vertical="center"/>
    </xf>
    <xf numFmtId="0" fontId="0" fillId="0" borderId="79" xfId="0" applyBorder="1" applyAlignment="1">
      <alignment horizontal="center" wrapText="1"/>
    </xf>
    <xf numFmtId="0" fontId="0" fillId="0" borderId="33" xfId="0" applyBorder="1" applyAlignment="1">
      <alignment horizontal="center" wrapText="1"/>
    </xf>
    <xf numFmtId="0" fontId="0" fillId="0" borderId="22" xfId="0" applyBorder="1" applyAlignment="1">
      <alignment horizontal="center" wrapText="1"/>
    </xf>
    <xf numFmtId="0" fontId="0" fillId="0" borderId="21" xfId="0" applyBorder="1" applyAlignment="1">
      <alignment horizontal="center" wrapText="1"/>
    </xf>
    <xf numFmtId="0" fontId="0" fillId="18" borderId="0" xfId="0" applyFill="1" applyAlignment="1">
      <alignment wrapText="1"/>
    </xf>
    <xf numFmtId="0" fontId="0" fillId="0" borderId="79" xfId="0" applyBorder="1" applyAlignment="1">
      <alignment wrapText="1"/>
    </xf>
    <xf numFmtId="0" fontId="0" fillId="0" borderId="33" xfId="0" applyBorder="1" applyAlignment="1">
      <alignment wrapText="1"/>
    </xf>
    <xf numFmtId="0" fontId="0" fillId="0" borderId="88" xfId="0" applyBorder="1" applyAlignment="1">
      <alignment wrapText="1"/>
    </xf>
    <xf numFmtId="0" fontId="0" fillId="0" borderId="89" xfId="0" applyBorder="1" applyAlignment="1">
      <alignment wrapText="1"/>
    </xf>
    <xf numFmtId="0" fontId="0" fillId="0" borderId="22" xfId="0" applyBorder="1" applyAlignment="1">
      <alignment wrapText="1"/>
    </xf>
    <xf numFmtId="0" fontId="0" fillId="0" borderId="21" xfId="0" applyBorder="1" applyAlignment="1">
      <alignment wrapText="1"/>
    </xf>
    <xf numFmtId="0" fontId="25" fillId="21" borderId="0" xfId="0" applyFont="1" applyFill="1" applyAlignment="1">
      <alignment horizontal="left" vertical="center" indent="1"/>
    </xf>
    <xf numFmtId="0" fontId="0" fillId="21" borderId="0" xfId="0" applyFill="1"/>
    <xf numFmtId="1" fontId="43" fillId="0" borderId="61" xfId="0" applyNumberFormat="1" applyFont="1" applyBorder="1" applyAlignment="1">
      <alignment horizontal="center"/>
    </xf>
    <xf numFmtId="1" fontId="43" fillId="0" borderId="78" xfId="0" applyNumberFormat="1" applyFont="1" applyBorder="1" applyAlignment="1">
      <alignment horizontal="center"/>
    </xf>
    <xf numFmtId="0" fontId="3" fillId="0" borderId="13" xfId="0" applyFont="1" applyBorder="1" applyAlignment="1">
      <alignment horizontal="center"/>
    </xf>
  </cellXfs>
  <cellStyles count="6">
    <cellStyle name="Bad" xfId="1" builtinId="27"/>
    <cellStyle name="Comma" xfId="5" builtinId="3"/>
    <cellStyle name="Hyperlink" xfId="4" builtinId="8"/>
    <cellStyle name="Neutral" xfId="2" builtinId="28"/>
    <cellStyle name="Normal" xfId="0" builtinId="0"/>
    <cellStyle name="Percent" xfId="3" builtinId="5"/>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006100"/>
      </font>
      <fill>
        <patternFill>
          <bgColor rgb="FFC6EFCE"/>
        </patternFill>
      </fill>
    </dxf>
    <dxf>
      <font>
        <color auto="1"/>
      </font>
      <fill>
        <patternFill>
          <bgColor theme="7" tint="0.59996337778862885"/>
        </patternFill>
      </fill>
    </dxf>
    <dxf>
      <font>
        <color rgb="FF9C0006"/>
      </font>
      <fill>
        <patternFill>
          <bgColor rgb="FFFFC7CE"/>
        </patternFill>
      </fill>
    </dxf>
    <dxf>
      <font>
        <color rgb="FF006100"/>
      </font>
      <fill>
        <patternFill>
          <bgColor rgb="FFC6EFCE"/>
        </patternFill>
      </fill>
    </dxf>
    <dxf>
      <font>
        <color auto="1"/>
      </font>
      <fill>
        <patternFill>
          <bgColor theme="7" tint="0.59996337778862885"/>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auto="1"/>
      </font>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s>
  <tableStyles count="0" defaultTableStyle="TableStyleMedium2" defaultPivotStyle="PivotStyleLight16"/>
  <colors>
    <mruColors>
      <color rgb="FFEB1E32"/>
      <color rgb="FFFFFFCC"/>
      <color rgb="FFFFC1C1"/>
      <color rgb="FFFF9999"/>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Lowest Temperature Celcius</a:t>
            </a:r>
          </a:p>
        </c:rich>
      </c:tx>
      <c:overlay val="0"/>
      <c:spPr>
        <a:noFill/>
        <a:ln>
          <a:noFill/>
        </a:ln>
        <a:effectLst/>
      </c:spPr>
    </c:title>
    <c:autoTitleDeleted val="0"/>
    <c:plotArea>
      <c:layout/>
      <c:barChart>
        <c:barDir val="col"/>
        <c:grouping val="clustered"/>
        <c:varyColors val="0"/>
        <c:ser>
          <c:idx val="0"/>
          <c:order val="0"/>
          <c:invertIfNegative val="0"/>
          <c:cat>
            <c:strRef>
              <c:f>Climate!$B$2:$M$2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Climate!$B$16:$M$16</c:f>
              <c:numCache>
                <c:formatCode>General</c:formatCode>
                <c:ptCount val="12"/>
                <c:pt idx="0">
                  <c:v>6</c:v>
                </c:pt>
                <c:pt idx="1">
                  <c:v>5.2</c:v>
                </c:pt>
                <c:pt idx="2">
                  <c:v>2.9</c:v>
                </c:pt>
                <c:pt idx="3">
                  <c:v>1</c:v>
                </c:pt>
                <c:pt idx="4">
                  <c:v>0</c:v>
                </c:pt>
                <c:pt idx="5">
                  <c:v>-2.2000000000000002</c:v>
                </c:pt>
                <c:pt idx="6">
                  <c:v>-3.8</c:v>
                </c:pt>
                <c:pt idx="7">
                  <c:v>-2.8</c:v>
                </c:pt>
                <c:pt idx="8">
                  <c:v>-1.8</c:v>
                </c:pt>
                <c:pt idx="9">
                  <c:v>0.6</c:v>
                </c:pt>
                <c:pt idx="10">
                  <c:v>2.2000000000000002</c:v>
                </c:pt>
                <c:pt idx="11">
                  <c:v>1.3</c:v>
                </c:pt>
              </c:numCache>
            </c:numRef>
          </c:val>
          <c:extLst>
            <c:ext xmlns:c16="http://schemas.microsoft.com/office/drawing/2014/chart" uri="{C3380CC4-5D6E-409C-BE32-E72D297353CC}">
              <c16:uniqueId val="{00000000-6C0F-4351-B0C1-AD30F579BEFB}"/>
            </c:ext>
          </c:extLst>
        </c:ser>
        <c:dLbls>
          <c:showLegendKey val="0"/>
          <c:showVal val="0"/>
          <c:showCatName val="0"/>
          <c:showSerName val="0"/>
          <c:showPercent val="0"/>
          <c:showBubbleSize val="0"/>
        </c:dLbls>
        <c:gapWidth val="219"/>
        <c:overlap val="-27"/>
        <c:axId val="76693888"/>
        <c:axId val="76695424"/>
      </c:barChart>
      <c:catAx>
        <c:axId val="766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5424"/>
        <c:crosses val="autoZero"/>
        <c:auto val="1"/>
        <c:lblAlgn val="ctr"/>
        <c:lblOffset val="100"/>
        <c:noMultiLvlLbl val="0"/>
      </c:catAx>
      <c:valAx>
        <c:axId val="7669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Wind Speeds km/h</a:t>
            </a:r>
          </a:p>
        </c:rich>
      </c:tx>
      <c:overlay val="0"/>
      <c:spPr>
        <a:noFill/>
        <a:ln>
          <a:noFill/>
        </a:ln>
        <a:effectLst/>
      </c:spPr>
    </c:title>
    <c:autoTitleDeleted val="0"/>
    <c:plotArea>
      <c:layout/>
      <c:lineChart>
        <c:grouping val="standard"/>
        <c:varyColors val="0"/>
        <c:ser>
          <c:idx val="0"/>
          <c:order val="0"/>
          <c:tx>
            <c:strRef>
              <c:f>Climate!$A$55</c:f>
              <c:strCache>
                <c:ptCount val="1"/>
                <c:pt idx="0">
                  <c:v>Mean 9am wind speed (km/h)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Climate!$B$2:$M$2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Climate!$B$55:$M$55</c:f>
              <c:numCache>
                <c:formatCode>General</c:formatCode>
                <c:ptCount val="12"/>
                <c:pt idx="0">
                  <c:v>15.2</c:v>
                </c:pt>
                <c:pt idx="1">
                  <c:v>12.7</c:v>
                </c:pt>
                <c:pt idx="2">
                  <c:v>13.6</c:v>
                </c:pt>
                <c:pt idx="3">
                  <c:v>13.3</c:v>
                </c:pt>
                <c:pt idx="4">
                  <c:v>13</c:v>
                </c:pt>
                <c:pt idx="5">
                  <c:v>13.6</c:v>
                </c:pt>
                <c:pt idx="6">
                  <c:v>15.6</c:v>
                </c:pt>
                <c:pt idx="7">
                  <c:v>17.8</c:v>
                </c:pt>
                <c:pt idx="8">
                  <c:v>18.8</c:v>
                </c:pt>
                <c:pt idx="9">
                  <c:v>18.600000000000001</c:v>
                </c:pt>
                <c:pt idx="10">
                  <c:v>15.9</c:v>
                </c:pt>
                <c:pt idx="11">
                  <c:v>16.100000000000001</c:v>
                </c:pt>
              </c:numCache>
            </c:numRef>
          </c:val>
          <c:smooth val="0"/>
          <c:extLst>
            <c:ext xmlns:c16="http://schemas.microsoft.com/office/drawing/2014/chart" uri="{C3380CC4-5D6E-409C-BE32-E72D297353CC}">
              <c16:uniqueId val="{00000000-A9C7-4D9A-B725-6D64E7A98BB3}"/>
            </c:ext>
          </c:extLst>
        </c:ser>
        <c:ser>
          <c:idx val="1"/>
          <c:order val="1"/>
          <c:tx>
            <c:strRef>
              <c:f>Climate!$A$62</c:f>
              <c:strCache>
                <c:ptCount val="1"/>
                <c:pt idx="0">
                  <c:v>Mean 3pm wind speed (km/h)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Climate!$B$2:$M$2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Climate!$B$62:$M$62</c:f>
              <c:numCache>
                <c:formatCode>General</c:formatCode>
                <c:ptCount val="12"/>
                <c:pt idx="0">
                  <c:v>23.3</c:v>
                </c:pt>
                <c:pt idx="1">
                  <c:v>22</c:v>
                </c:pt>
                <c:pt idx="2">
                  <c:v>21.2</c:v>
                </c:pt>
                <c:pt idx="3">
                  <c:v>19.5</c:v>
                </c:pt>
                <c:pt idx="4">
                  <c:v>18.2</c:v>
                </c:pt>
                <c:pt idx="5">
                  <c:v>18.899999999999999</c:v>
                </c:pt>
                <c:pt idx="6">
                  <c:v>20.5</c:v>
                </c:pt>
                <c:pt idx="7">
                  <c:v>22</c:v>
                </c:pt>
                <c:pt idx="8">
                  <c:v>22.7</c:v>
                </c:pt>
                <c:pt idx="9">
                  <c:v>23</c:v>
                </c:pt>
                <c:pt idx="10">
                  <c:v>22.6</c:v>
                </c:pt>
                <c:pt idx="11">
                  <c:v>23.1</c:v>
                </c:pt>
              </c:numCache>
            </c:numRef>
          </c:val>
          <c:smooth val="0"/>
          <c:extLst>
            <c:ext xmlns:c16="http://schemas.microsoft.com/office/drawing/2014/chart" uri="{C3380CC4-5D6E-409C-BE32-E72D297353CC}">
              <c16:uniqueId val="{00000001-A9C7-4D9A-B725-6D64E7A98BB3}"/>
            </c:ext>
          </c:extLst>
        </c:ser>
        <c:dLbls>
          <c:showLegendKey val="0"/>
          <c:showVal val="0"/>
          <c:showCatName val="0"/>
          <c:showSerName val="0"/>
          <c:showPercent val="0"/>
          <c:showBubbleSize val="0"/>
        </c:dLbls>
        <c:marker val="1"/>
        <c:smooth val="0"/>
        <c:axId val="76737152"/>
        <c:axId val="77136256"/>
      </c:lineChart>
      <c:catAx>
        <c:axId val="767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36256"/>
        <c:crosses val="autoZero"/>
        <c:auto val="1"/>
        <c:lblAlgn val="ctr"/>
        <c:lblOffset val="100"/>
        <c:noMultiLvlLbl val="0"/>
      </c:catAx>
      <c:valAx>
        <c:axId val="77136256"/>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maximum temperature (°C)</a:t>
            </a:r>
          </a:p>
        </c:rich>
      </c:tx>
      <c:overlay val="0"/>
      <c:spPr>
        <a:noFill/>
        <a:ln>
          <a:noFill/>
        </a:ln>
        <a:effectLst/>
      </c:spPr>
    </c:title>
    <c:autoTitleDeleted val="0"/>
    <c:plotArea>
      <c:layout/>
      <c:barChart>
        <c:barDir val="col"/>
        <c:grouping val="clustered"/>
        <c:varyColors val="0"/>
        <c:ser>
          <c:idx val="0"/>
          <c:order val="0"/>
          <c:spPr>
            <a:solidFill>
              <a:srgbClr val="FF0000"/>
            </a:solidFill>
          </c:spPr>
          <c:invertIfNegative val="0"/>
          <c:cat>
            <c:strRef>
              <c:f>Climate!$B$2:$M$2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Climate!$B$4:$M$4</c:f>
              <c:numCache>
                <c:formatCode>General</c:formatCode>
                <c:ptCount val="12"/>
                <c:pt idx="0">
                  <c:v>25.8</c:v>
                </c:pt>
                <c:pt idx="1">
                  <c:v>26.1</c:v>
                </c:pt>
                <c:pt idx="2">
                  <c:v>23.8</c:v>
                </c:pt>
                <c:pt idx="3">
                  <c:v>20.2</c:v>
                </c:pt>
                <c:pt idx="4">
                  <c:v>17</c:v>
                </c:pt>
                <c:pt idx="5">
                  <c:v>14.2</c:v>
                </c:pt>
                <c:pt idx="6">
                  <c:v>13.7</c:v>
                </c:pt>
                <c:pt idx="7">
                  <c:v>14.9</c:v>
                </c:pt>
                <c:pt idx="8">
                  <c:v>16.899999999999999</c:v>
                </c:pt>
                <c:pt idx="9">
                  <c:v>19.3</c:v>
                </c:pt>
                <c:pt idx="10">
                  <c:v>21.7</c:v>
                </c:pt>
                <c:pt idx="11">
                  <c:v>24</c:v>
                </c:pt>
              </c:numCache>
            </c:numRef>
          </c:val>
          <c:extLst>
            <c:ext xmlns:c16="http://schemas.microsoft.com/office/drawing/2014/chart" uri="{C3380CC4-5D6E-409C-BE32-E72D297353CC}">
              <c16:uniqueId val="{00000000-7007-46E8-9929-7602FF610BC0}"/>
            </c:ext>
          </c:extLst>
        </c:ser>
        <c:dLbls>
          <c:showLegendKey val="0"/>
          <c:showVal val="0"/>
          <c:showCatName val="0"/>
          <c:showSerName val="0"/>
          <c:showPercent val="0"/>
          <c:showBubbleSize val="0"/>
        </c:dLbls>
        <c:gapWidth val="219"/>
        <c:overlap val="-27"/>
        <c:axId val="77173120"/>
        <c:axId val="77174656"/>
      </c:barChart>
      <c:catAx>
        <c:axId val="7717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4656"/>
        <c:crosses val="autoZero"/>
        <c:auto val="1"/>
        <c:lblAlgn val="ctr"/>
        <c:lblOffset val="100"/>
        <c:noMultiLvlLbl val="0"/>
      </c:catAx>
      <c:valAx>
        <c:axId val="7717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3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Mean Monthly Rainfall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cat>
            <c:strRef>
              <c:f>Climate!$B$2:$M$2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Climate!$B$29:$M$29</c:f>
              <c:numCache>
                <c:formatCode>0</c:formatCode>
                <c:ptCount val="12"/>
                <c:pt idx="0">
                  <c:v>44.4</c:v>
                </c:pt>
                <c:pt idx="1">
                  <c:v>45</c:v>
                </c:pt>
                <c:pt idx="2">
                  <c:v>43.7</c:v>
                </c:pt>
                <c:pt idx="3">
                  <c:v>62.5</c:v>
                </c:pt>
                <c:pt idx="4">
                  <c:v>68.900000000000006</c:v>
                </c:pt>
                <c:pt idx="5">
                  <c:v>55.9</c:v>
                </c:pt>
                <c:pt idx="6">
                  <c:v>61.7</c:v>
                </c:pt>
                <c:pt idx="7">
                  <c:v>65.099999999999994</c:v>
                </c:pt>
                <c:pt idx="8">
                  <c:v>64.599999999999994</c:v>
                </c:pt>
                <c:pt idx="9">
                  <c:v>68.8</c:v>
                </c:pt>
                <c:pt idx="10">
                  <c:v>62.4</c:v>
                </c:pt>
                <c:pt idx="11">
                  <c:v>60.5</c:v>
                </c:pt>
              </c:numCache>
            </c:numRef>
          </c:val>
          <c:extLst>
            <c:ext xmlns:c16="http://schemas.microsoft.com/office/drawing/2014/chart" uri="{C3380CC4-5D6E-409C-BE32-E72D297353CC}">
              <c16:uniqueId val="{00000000-C56C-4B75-9A67-D321363C0539}"/>
            </c:ext>
          </c:extLst>
        </c:ser>
        <c:dLbls>
          <c:showLegendKey val="0"/>
          <c:showVal val="0"/>
          <c:showCatName val="0"/>
          <c:showSerName val="0"/>
          <c:showPercent val="0"/>
          <c:showBubbleSize val="0"/>
        </c:dLbls>
        <c:gapWidth val="219"/>
        <c:overlap val="-27"/>
        <c:axId val="348708207"/>
        <c:axId val="339384527"/>
      </c:barChart>
      <c:catAx>
        <c:axId val="34870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84527"/>
        <c:crosses val="autoZero"/>
        <c:auto val="1"/>
        <c:lblAlgn val="ctr"/>
        <c:lblOffset val="100"/>
        <c:noMultiLvlLbl val="0"/>
      </c:catAx>
      <c:valAx>
        <c:axId val="339384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0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3429000</xdr:colOff>
      <xdr:row>175</xdr:row>
      <xdr:rowOff>4762</xdr:rowOff>
    </xdr:from>
    <xdr:to>
      <xdr:col>13</xdr:col>
      <xdr:colOff>171450</xdr:colOff>
      <xdr:row>189</xdr:row>
      <xdr:rowOff>80962</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3448049</xdr:colOff>
      <xdr:row>211</xdr:row>
      <xdr:rowOff>157162</xdr:rowOff>
    </xdr:from>
    <xdr:to>
      <xdr:col>13</xdr:col>
      <xdr:colOff>180975</xdr:colOff>
      <xdr:row>226</xdr:row>
      <xdr:rowOff>42862</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3571875</xdr:colOff>
      <xdr:row>154</xdr:row>
      <xdr:rowOff>147637</xdr:rowOff>
    </xdr:from>
    <xdr:to>
      <xdr:col>13</xdr:col>
      <xdr:colOff>123825</xdr:colOff>
      <xdr:row>169</xdr:row>
      <xdr:rowOff>33337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9526</xdr:colOff>
      <xdr:row>61</xdr:row>
      <xdr:rowOff>138734</xdr:rowOff>
    </xdr:from>
    <xdr:to>
      <xdr:col>15</xdr:col>
      <xdr:colOff>0</xdr:colOff>
      <xdr:row>61</xdr:row>
      <xdr:rowOff>180975</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flipH="1" flipV="1">
          <a:off x="11706226" y="11340134"/>
          <a:ext cx="1019174" cy="42241"/>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9527</xdr:colOff>
      <xdr:row>54</xdr:row>
      <xdr:rowOff>125068</xdr:rowOff>
    </xdr:from>
    <xdr:to>
      <xdr:col>15</xdr:col>
      <xdr:colOff>19050</xdr:colOff>
      <xdr:row>61</xdr:row>
      <xdr:rowOff>28575</xdr:rowOff>
    </xdr:to>
    <xdr:cxnSp macro="">
      <xdr:nvCxnSpPr>
        <xdr:cNvPr id="8" name="Straight Arrow Connector 7">
          <a:extLst>
            <a:ext uri="{FF2B5EF4-FFF2-40B4-BE49-F238E27FC236}">
              <a16:creationId xmlns:a16="http://schemas.microsoft.com/office/drawing/2014/main" id="{00000000-0008-0000-0300-000008000000}"/>
            </a:ext>
          </a:extLst>
        </xdr:cNvPr>
        <xdr:cNvCxnSpPr/>
      </xdr:nvCxnSpPr>
      <xdr:spPr>
        <a:xfrm flipH="1" flipV="1">
          <a:off x="11706227" y="9983443"/>
          <a:ext cx="1038223" cy="1246532"/>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3481386</xdr:colOff>
      <xdr:row>194</xdr:row>
      <xdr:rowOff>123825</xdr:rowOff>
    </xdr:from>
    <xdr:to>
      <xdr:col>13</xdr:col>
      <xdr:colOff>285749</xdr:colOff>
      <xdr:row>206</xdr:row>
      <xdr:rowOff>47624</xdr:rowOff>
    </xdr:to>
    <xdr:graphicFrame macro="">
      <xdr:nvGraphicFramePr>
        <xdr:cNvPr id="4" name="Chart 3">
          <a:extLst>
            <a:ext uri="{FF2B5EF4-FFF2-40B4-BE49-F238E27FC236}">
              <a16:creationId xmlns:a16="http://schemas.microsoft.com/office/drawing/2014/main" id="{F323C1E8-15F6-4925-8132-AB4AA206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85725</xdr:colOff>
      <xdr:row>1</xdr:row>
      <xdr:rowOff>200025</xdr:rowOff>
    </xdr:from>
    <xdr:to>
      <xdr:col>15</xdr:col>
      <xdr:colOff>552450</xdr:colOff>
      <xdr:row>4</xdr:row>
      <xdr:rowOff>47625</xdr:rowOff>
    </xdr:to>
    <xdr:pic>
      <xdr:nvPicPr>
        <xdr:cNvPr id="16" name="Graphic 15" descr="Sun">
          <a:extLst>
            <a:ext uri="{FF2B5EF4-FFF2-40B4-BE49-F238E27FC236}">
              <a16:creationId xmlns:a16="http://schemas.microsoft.com/office/drawing/2014/main" id="{214BD2D4-2B3C-4FE5-8955-7E1BA7E76E2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811125" y="447675"/>
          <a:ext cx="466725" cy="466725"/>
        </a:xfrm>
        <a:prstGeom prst="rect">
          <a:avLst/>
        </a:prstGeom>
      </xdr:spPr>
    </xdr:pic>
    <xdr:clientData/>
  </xdr:twoCellAnchor>
  <xdr:twoCellAnchor editAs="oneCell">
    <xdr:from>
      <xdr:col>15</xdr:col>
      <xdr:colOff>123825</xdr:colOff>
      <xdr:row>12</xdr:row>
      <xdr:rowOff>171450</xdr:rowOff>
    </xdr:from>
    <xdr:to>
      <xdr:col>15</xdr:col>
      <xdr:colOff>590550</xdr:colOff>
      <xdr:row>15</xdr:row>
      <xdr:rowOff>28575</xdr:rowOff>
    </xdr:to>
    <xdr:pic>
      <xdr:nvPicPr>
        <xdr:cNvPr id="18" name="Graphic 17" descr="Snowflake">
          <a:extLst>
            <a:ext uri="{FF2B5EF4-FFF2-40B4-BE49-F238E27FC236}">
              <a16:creationId xmlns:a16="http://schemas.microsoft.com/office/drawing/2014/main" id="{E841EC2E-6FB2-4EE8-8930-B04C2965D33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849225" y="2447925"/>
          <a:ext cx="466725" cy="466725"/>
        </a:xfrm>
        <a:prstGeom prst="rect">
          <a:avLst/>
        </a:prstGeom>
      </xdr:spPr>
    </xdr:pic>
    <xdr:clientData/>
  </xdr:twoCellAnchor>
  <xdr:twoCellAnchor editAs="oneCell">
    <xdr:from>
      <xdr:col>15</xdr:col>
      <xdr:colOff>38100</xdr:colOff>
      <xdr:row>24</xdr:row>
      <xdr:rowOff>180975</xdr:rowOff>
    </xdr:from>
    <xdr:to>
      <xdr:col>15</xdr:col>
      <xdr:colOff>495300</xdr:colOff>
      <xdr:row>27</xdr:row>
      <xdr:rowOff>28575</xdr:rowOff>
    </xdr:to>
    <xdr:pic>
      <xdr:nvPicPr>
        <xdr:cNvPr id="20" name="Graphic 19" descr="Rain">
          <a:extLst>
            <a:ext uri="{FF2B5EF4-FFF2-40B4-BE49-F238E27FC236}">
              <a16:creationId xmlns:a16="http://schemas.microsoft.com/office/drawing/2014/main" id="{AE1E7BA4-8383-464E-AC50-6D8B2A8F460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763500" y="5076825"/>
          <a:ext cx="457200" cy="457200"/>
        </a:xfrm>
        <a:prstGeom prst="rect">
          <a:avLst/>
        </a:prstGeom>
      </xdr:spPr>
    </xdr:pic>
    <xdr:clientData/>
  </xdr:twoCellAnchor>
  <xdr:twoCellAnchor editAs="oneCell">
    <xdr:from>
      <xdr:col>15</xdr:col>
      <xdr:colOff>114300</xdr:colOff>
      <xdr:row>39</xdr:row>
      <xdr:rowOff>171450</xdr:rowOff>
    </xdr:from>
    <xdr:to>
      <xdr:col>15</xdr:col>
      <xdr:colOff>552450</xdr:colOff>
      <xdr:row>42</xdr:row>
      <xdr:rowOff>28575</xdr:rowOff>
    </xdr:to>
    <xdr:pic>
      <xdr:nvPicPr>
        <xdr:cNvPr id="26" name="Graphic 25" descr="Crane">
          <a:extLst>
            <a:ext uri="{FF2B5EF4-FFF2-40B4-BE49-F238E27FC236}">
              <a16:creationId xmlns:a16="http://schemas.microsoft.com/office/drawing/2014/main" id="{8E99A42C-C45F-4E7D-AD9D-20BBE0D6207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839700" y="7210425"/>
          <a:ext cx="438150" cy="438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20</xdr:col>
      <xdr:colOff>28575</xdr:colOff>
      <xdr:row>4</xdr:row>
      <xdr:rowOff>38100</xdr:rowOff>
    </xdr:from>
    <xdr:ext cx="263066" cy="695324"/>
    <xdr:sp macro="" textlink="">
      <xdr:nvSpPr>
        <xdr:cNvPr id="2" name="Rectangle 1">
          <a:extLst>
            <a:ext uri="{FF2B5EF4-FFF2-40B4-BE49-F238E27FC236}">
              <a16:creationId xmlns:a16="http://schemas.microsoft.com/office/drawing/2014/main" id="{78370A37-E994-4390-86DA-ABCB5284AE33}"/>
            </a:ext>
          </a:extLst>
        </xdr:cNvPr>
        <xdr:cNvSpPr/>
      </xdr:nvSpPr>
      <xdr:spPr>
        <a:xfrm>
          <a:off x="10048875" y="904875"/>
          <a:ext cx="263066" cy="695324"/>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1</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oneCellAnchor>
    <xdr:from>
      <xdr:col>20</xdr:col>
      <xdr:colOff>19050</xdr:colOff>
      <xdr:row>9</xdr:row>
      <xdr:rowOff>57150</xdr:rowOff>
    </xdr:from>
    <xdr:ext cx="282116" cy="628650"/>
    <xdr:sp macro="" textlink="">
      <xdr:nvSpPr>
        <xdr:cNvPr id="3" name="Rectangle 2">
          <a:extLst>
            <a:ext uri="{FF2B5EF4-FFF2-40B4-BE49-F238E27FC236}">
              <a16:creationId xmlns:a16="http://schemas.microsoft.com/office/drawing/2014/main" id="{D5413561-3C11-4862-888D-10688C3FA436}"/>
            </a:ext>
          </a:extLst>
        </xdr:cNvPr>
        <xdr:cNvSpPr/>
      </xdr:nvSpPr>
      <xdr:spPr>
        <a:xfrm>
          <a:off x="10039350" y="1876425"/>
          <a:ext cx="282116" cy="628650"/>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2</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47625</xdr:colOff>
      <xdr:row>23</xdr:row>
      <xdr:rowOff>177853</xdr:rowOff>
    </xdr:from>
    <xdr:to>
      <xdr:col>17</xdr:col>
      <xdr:colOff>142875</xdr:colOff>
      <xdr:row>27</xdr:row>
      <xdr:rowOff>34737</xdr:rowOff>
    </xdr:to>
    <xdr:sp macro="" textlink="$A$7">
      <xdr:nvSpPr>
        <xdr:cNvPr id="3" name="TextBox 2">
          <a:extLst>
            <a:ext uri="{FF2B5EF4-FFF2-40B4-BE49-F238E27FC236}">
              <a16:creationId xmlns:a16="http://schemas.microsoft.com/office/drawing/2014/main" id="{00000000-0008-0000-0100-000003000000}"/>
            </a:ext>
          </a:extLst>
        </xdr:cNvPr>
        <xdr:cNvSpPr txBox="1"/>
      </xdr:nvSpPr>
      <xdr:spPr>
        <a:xfrm>
          <a:off x="5524500" y="4045003"/>
          <a:ext cx="2543175" cy="352184"/>
        </a:xfrm>
        <a:prstGeom prst="rect">
          <a:avLst/>
        </a:prstGeom>
        <a:solidFill>
          <a:schemeClr val="lt1"/>
        </a:solidFill>
        <a:ln w="2857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0A1B59-4CCA-43C5-9BE3-0A8E5DC148D5}" type="TxLink">
            <a:rPr lang="en-US" sz="1100" b="1" i="0" u="none" strike="noStrike">
              <a:solidFill>
                <a:srgbClr val="000000"/>
              </a:solidFill>
              <a:latin typeface="Calibri"/>
            </a:rPr>
            <a:pPr algn="ctr"/>
            <a:t>Commence Works on Site - 03-Sep-18</a:t>
          </a:fld>
          <a:endParaRPr lang="en-AU" sz="1000" b="1"/>
        </a:p>
      </xdr:txBody>
    </xdr:sp>
    <xdr:clientData/>
  </xdr:twoCellAnchor>
  <xdr:twoCellAnchor>
    <xdr:from>
      <xdr:col>8</xdr:col>
      <xdr:colOff>9525</xdr:colOff>
      <xdr:row>27</xdr:row>
      <xdr:rowOff>77400</xdr:rowOff>
    </xdr:from>
    <xdr:to>
      <xdr:col>40</xdr:col>
      <xdr:colOff>9525</xdr:colOff>
      <xdr:row>28</xdr:row>
      <xdr:rowOff>144636</xdr:rowOff>
    </xdr:to>
    <xdr:sp macro="" textlink="">
      <xdr:nvSpPr>
        <xdr:cNvPr id="4" name="Left-Right Arrow 3">
          <a:extLst>
            <a:ext uri="{FF2B5EF4-FFF2-40B4-BE49-F238E27FC236}">
              <a16:creationId xmlns:a16="http://schemas.microsoft.com/office/drawing/2014/main" id="{00000000-0008-0000-0100-000004000000}"/>
            </a:ext>
          </a:extLst>
        </xdr:cNvPr>
        <xdr:cNvSpPr/>
      </xdr:nvSpPr>
      <xdr:spPr>
        <a:xfrm>
          <a:off x="5486400" y="4296975"/>
          <a:ext cx="8534400" cy="257736"/>
        </a:xfrm>
        <a:prstGeom prst="leftRightArrow">
          <a:avLst>
            <a:gd name="adj1" fmla="val 50000"/>
            <a:gd name="adj2" fmla="val 1647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30</xdr:col>
      <xdr:colOff>91572</xdr:colOff>
      <xdr:row>24</xdr:row>
      <xdr:rowOff>9525</xdr:rowOff>
    </xdr:from>
    <xdr:to>
      <xdr:col>38</xdr:col>
      <xdr:colOff>47625</xdr:colOff>
      <xdr:row>27</xdr:row>
      <xdr:rowOff>74520</xdr:rowOff>
    </xdr:to>
    <xdr:sp macro="" textlink="$D$7">
      <xdr:nvSpPr>
        <xdr:cNvPr id="5" name="TextBox 4">
          <a:extLst>
            <a:ext uri="{FF2B5EF4-FFF2-40B4-BE49-F238E27FC236}">
              <a16:creationId xmlns:a16="http://schemas.microsoft.com/office/drawing/2014/main" id="{00000000-0008-0000-0100-000005000000}"/>
            </a:ext>
          </a:extLst>
        </xdr:cNvPr>
        <xdr:cNvSpPr txBox="1"/>
      </xdr:nvSpPr>
      <xdr:spPr>
        <a:xfrm>
          <a:off x="11483472" y="4048125"/>
          <a:ext cx="2089653" cy="369795"/>
        </a:xfrm>
        <a:prstGeom prst="rect">
          <a:avLst/>
        </a:prstGeom>
        <a:solidFill>
          <a:schemeClr val="lt1"/>
        </a:solidFill>
        <a:ln w="2857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D7409B-3084-4E65-86F9-CF1BC49A8EDC}" type="TxLink">
            <a:rPr lang="en-US" sz="1100" b="1" i="0" u="none" strike="noStrike">
              <a:solidFill>
                <a:srgbClr val="000000"/>
              </a:solidFill>
              <a:latin typeface="Calibri"/>
            </a:rPr>
            <a:pPr algn="ctr"/>
            <a:t>Working Days = 905</a:t>
          </a:fld>
          <a:endParaRPr lang="en-AU" sz="1000" b="1"/>
        </a:p>
      </xdr:txBody>
    </xdr:sp>
    <xdr:clientData/>
  </xdr:twoCellAnchor>
  <xdr:oneCellAnchor>
    <xdr:from>
      <xdr:col>108</xdr:col>
      <xdr:colOff>552450</xdr:colOff>
      <xdr:row>42</xdr:row>
      <xdr:rowOff>66675</xdr:rowOff>
    </xdr:from>
    <xdr:ext cx="590550" cy="371475"/>
    <xdr:sp macro="" textlink="">
      <xdr:nvSpPr>
        <xdr:cNvPr id="7" name="TextBox 6">
          <a:extLst>
            <a:ext uri="{FF2B5EF4-FFF2-40B4-BE49-F238E27FC236}">
              <a16:creationId xmlns:a16="http://schemas.microsoft.com/office/drawing/2014/main" id="{C6134372-0B4E-414E-B5E0-D99AFD071266}"/>
            </a:ext>
          </a:extLst>
        </xdr:cNvPr>
        <xdr:cNvSpPr txBox="1"/>
      </xdr:nvSpPr>
      <xdr:spPr>
        <a:xfrm>
          <a:off x="29537025" y="5543550"/>
          <a:ext cx="59055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AU" sz="2000" b="1" baseline="0">
            <a:solidFill>
              <a:srgbClr val="FF0000"/>
            </a:solidFill>
          </a:endParaRPr>
        </a:p>
        <a:p>
          <a:endParaRPr lang="en-AU" sz="2000" b="1">
            <a:solidFill>
              <a:srgbClr val="FF0000"/>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21</xdr:col>
      <xdr:colOff>127459</xdr:colOff>
      <xdr:row>0</xdr:row>
      <xdr:rowOff>85726</xdr:rowOff>
    </xdr:from>
    <xdr:ext cx="263066" cy="619124"/>
    <xdr:sp macro="" textlink="">
      <xdr:nvSpPr>
        <xdr:cNvPr id="2" name="Rectangle 1">
          <a:extLst>
            <a:ext uri="{FF2B5EF4-FFF2-40B4-BE49-F238E27FC236}">
              <a16:creationId xmlns:a16="http://schemas.microsoft.com/office/drawing/2014/main" id="{00000000-0008-0000-0600-000002000000}"/>
            </a:ext>
          </a:extLst>
        </xdr:cNvPr>
        <xdr:cNvSpPr/>
      </xdr:nvSpPr>
      <xdr:spPr>
        <a:xfrm>
          <a:off x="11147884" y="85726"/>
          <a:ext cx="263066" cy="619124"/>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1</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oneCellAnchor>
    <xdr:from>
      <xdr:col>21</xdr:col>
      <xdr:colOff>127459</xdr:colOff>
      <xdr:row>3</xdr:row>
      <xdr:rowOff>66675</xdr:rowOff>
    </xdr:from>
    <xdr:ext cx="282116" cy="628650"/>
    <xdr:sp macro="" textlink="">
      <xdr:nvSpPr>
        <xdr:cNvPr id="4" name="Rectangle 3">
          <a:extLst>
            <a:ext uri="{FF2B5EF4-FFF2-40B4-BE49-F238E27FC236}">
              <a16:creationId xmlns:a16="http://schemas.microsoft.com/office/drawing/2014/main" id="{00000000-0008-0000-0600-000004000000}"/>
            </a:ext>
          </a:extLst>
        </xdr:cNvPr>
        <xdr:cNvSpPr/>
      </xdr:nvSpPr>
      <xdr:spPr>
        <a:xfrm>
          <a:off x="11147884" y="685800"/>
          <a:ext cx="282116" cy="628650"/>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2</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oneCellAnchor>
    <xdr:from>
      <xdr:col>21</xdr:col>
      <xdr:colOff>76199</xdr:colOff>
      <xdr:row>6</xdr:row>
      <xdr:rowOff>114299</xdr:rowOff>
    </xdr:from>
    <xdr:ext cx="447676" cy="533401"/>
    <xdr:sp macro="" textlink="">
      <xdr:nvSpPr>
        <xdr:cNvPr id="5" name="Rectangle 4">
          <a:extLst>
            <a:ext uri="{FF2B5EF4-FFF2-40B4-BE49-F238E27FC236}">
              <a16:creationId xmlns:a16="http://schemas.microsoft.com/office/drawing/2014/main" id="{00000000-0008-0000-0600-000005000000}"/>
            </a:ext>
          </a:extLst>
        </xdr:cNvPr>
        <xdr:cNvSpPr/>
      </xdr:nvSpPr>
      <xdr:spPr>
        <a:xfrm flipH="1">
          <a:off x="11096624" y="1304924"/>
          <a:ext cx="447676" cy="533401"/>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3</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oneCellAnchor>
    <xdr:from>
      <xdr:col>28</xdr:col>
      <xdr:colOff>447675</xdr:colOff>
      <xdr:row>16</xdr:row>
      <xdr:rowOff>47625</xdr:rowOff>
    </xdr:from>
    <xdr:ext cx="263066" cy="619124"/>
    <xdr:sp macro="" textlink="">
      <xdr:nvSpPr>
        <xdr:cNvPr id="6" name="Rectangle 5">
          <a:extLst>
            <a:ext uri="{FF2B5EF4-FFF2-40B4-BE49-F238E27FC236}">
              <a16:creationId xmlns:a16="http://schemas.microsoft.com/office/drawing/2014/main" id="{00000000-0008-0000-0600-000006000000}"/>
            </a:ext>
          </a:extLst>
        </xdr:cNvPr>
        <xdr:cNvSpPr/>
      </xdr:nvSpPr>
      <xdr:spPr>
        <a:xfrm>
          <a:off x="15268575" y="3200400"/>
          <a:ext cx="263066" cy="619124"/>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4</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oneCellAnchor>
    <xdr:from>
      <xdr:col>21</xdr:col>
      <xdr:colOff>133350</xdr:colOff>
      <xdr:row>33</xdr:row>
      <xdr:rowOff>66675</xdr:rowOff>
    </xdr:from>
    <xdr:ext cx="263066" cy="619124"/>
    <xdr:sp macro="" textlink="">
      <xdr:nvSpPr>
        <xdr:cNvPr id="7" name="Rectangle 6">
          <a:extLst>
            <a:ext uri="{FF2B5EF4-FFF2-40B4-BE49-F238E27FC236}">
              <a16:creationId xmlns:a16="http://schemas.microsoft.com/office/drawing/2014/main" id="{00000000-0008-0000-0600-000007000000}"/>
            </a:ext>
          </a:extLst>
        </xdr:cNvPr>
        <xdr:cNvSpPr/>
      </xdr:nvSpPr>
      <xdr:spPr>
        <a:xfrm>
          <a:off x="11153775" y="6477000"/>
          <a:ext cx="263066" cy="619124"/>
        </a:xfrm>
        <a:prstGeom prst="rect">
          <a:avLst/>
        </a:prstGeom>
        <a:noFill/>
      </xdr:spPr>
      <xdr:txBody>
        <a:bodyPr wrap="none" lIns="91440" tIns="45720" rIns="91440" bIns="45720" anchor="ctr">
          <a:noAutofit/>
        </a:bodyPr>
        <a:lstStyle/>
        <a:p>
          <a:pPr algn="ctr"/>
          <a:r>
            <a:rPr lang="en-US" sz="4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5</a:t>
          </a:r>
          <a:endParaRPr lang="en-US"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oneCellAnchor>
  <xdr:twoCellAnchor>
    <xdr:from>
      <xdr:col>23</xdr:col>
      <xdr:colOff>19051</xdr:colOff>
      <xdr:row>35</xdr:row>
      <xdr:rowOff>19050</xdr:rowOff>
    </xdr:from>
    <xdr:to>
      <xdr:col>31</xdr:col>
      <xdr:colOff>828675</xdr:colOff>
      <xdr:row>38</xdr:row>
      <xdr:rowOff>190500</xdr:rowOff>
    </xdr:to>
    <xdr:cxnSp macro="">
      <xdr:nvCxnSpPr>
        <xdr:cNvPr id="8" name="Straight Arrow Connector 7">
          <a:extLst>
            <a:ext uri="{FF2B5EF4-FFF2-40B4-BE49-F238E27FC236}">
              <a16:creationId xmlns:a16="http://schemas.microsoft.com/office/drawing/2014/main" id="{20712072-17C6-4D93-8F28-40A6091BB681}"/>
            </a:ext>
          </a:extLst>
        </xdr:cNvPr>
        <xdr:cNvCxnSpPr/>
      </xdr:nvCxnSpPr>
      <xdr:spPr>
        <a:xfrm flipH="1">
          <a:off x="12115801" y="6829425"/>
          <a:ext cx="5381624" cy="771525"/>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5384290</xdr:colOff>
      <xdr:row>6</xdr:row>
      <xdr:rowOff>112210</xdr:rowOff>
    </xdr:from>
    <xdr:ext cx="244985" cy="405432"/>
    <xdr:sp macro="" textlink="">
      <xdr:nvSpPr>
        <xdr:cNvPr id="2" name="Rectangle 1">
          <a:extLst>
            <a:ext uri="{FF2B5EF4-FFF2-40B4-BE49-F238E27FC236}">
              <a16:creationId xmlns:a16="http://schemas.microsoft.com/office/drawing/2014/main" id="{437DEF93-C391-441A-ACA7-530B205B7363}"/>
            </a:ext>
          </a:extLst>
        </xdr:cNvPr>
        <xdr:cNvSpPr/>
      </xdr:nvSpPr>
      <xdr:spPr>
        <a:xfrm>
          <a:off x="6251065" y="1255210"/>
          <a:ext cx="244985" cy="405432"/>
        </a:xfrm>
        <a:prstGeom prst="rect">
          <a:avLst/>
        </a:prstGeom>
        <a:noFill/>
      </xdr:spPr>
      <xdr:txBody>
        <a:bodyPr wrap="square" lIns="91440" tIns="45720" rIns="91440" bIns="45720">
          <a:spAutoFit/>
        </a:bodyPr>
        <a:lstStyle/>
        <a:p>
          <a:pPr algn="ctr"/>
          <a:r>
            <a:rPr lang="en-US" sz="2000" b="1" cap="none" spc="0">
              <a:ln w="22225">
                <a:solidFill>
                  <a:schemeClr val="accent2"/>
                </a:solidFill>
                <a:prstDash val="solid"/>
              </a:ln>
              <a:solidFill>
                <a:srgbClr val="FF0000"/>
              </a:solidFill>
              <a:effectLst/>
            </a:rPr>
            <a:t>A</a:t>
          </a:r>
        </a:p>
      </xdr:txBody>
    </xdr:sp>
    <xdr:clientData/>
  </xdr:oneCellAnchor>
  <xdr:oneCellAnchor>
    <xdr:from>
      <xdr:col>5</xdr:col>
      <xdr:colOff>526540</xdr:colOff>
      <xdr:row>6</xdr:row>
      <xdr:rowOff>102685</xdr:rowOff>
    </xdr:from>
    <xdr:ext cx="244985" cy="405432"/>
    <xdr:sp macro="" textlink="">
      <xdr:nvSpPr>
        <xdr:cNvPr id="3" name="Rectangle 2">
          <a:extLst>
            <a:ext uri="{FF2B5EF4-FFF2-40B4-BE49-F238E27FC236}">
              <a16:creationId xmlns:a16="http://schemas.microsoft.com/office/drawing/2014/main" id="{8E6923BB-9C12-444F-A793-936DDCE0C827}"/>
            </a:ext>
          </a:extLst>
        </xdr:cNvPr>
        <xdr:cNvSpPr/>
      </xdr:nvSpPr>
      <xdr:spPr>
        <a:xfrm>
          <a:off x="7155940" y="1245685"/>
          <a:ext cx="244985" cy="405432"/>
        </a:xfrm>
        <a:prstGeom prst="rect">
          <a:avLst/>
        </a:prstGeom>
        <a:noFill/>
      </xdr:spPr>
      <xdr:txBody>
        <a:bodyPr wrap="square" lIns="91440" tIns="45720" rIns="91440" bIns="45720">
          <a:spAutoFit/>
        </a:bodyPr>
        <a:lstStyle/>
        <a:p>
          <a:pPr algn="ctr"/>
          <a:r>
            <a:rPr lang="en-US" sz="2000" b="1" cap="none" spc="0">
              <a:ln w="22225">
                <a:solidFill>
                  <a:schemeClr val="accent2"/>
                </a:solidFill>
                <a:prstDash val="solid"/>
              </a:ln>
              <a:solidFill>
                <a:srgbClr val="FF0000"/>
              </a:solidFill>
              <a:effectLst/>
            </a:rPr>
            <a:t>B</a:t>
          </a:r>
        </a:p>
      </xdr:txBody>
    </xdr:sp>
    <xdr:clientData/>
  </xdr:oneCellAnchor>
  <xdr:oneCellAnchor>
    <xdr:from>
      <xdr:col>6</xdr:col>
      <xdr:colOff>581025</xdr:colOff>
      <xdr:row>6</xdr:row>
      <xdr:rowOff>95250</xdr:rowOff>
    </xdr:from>
    <xdr:ext cx="244985" cy="405432"/>
    <xdr:sp macro="" textlink="">
      <xdr:nvSpPr>
        <xdr:cNvPr id="4" name="Rectangle 3">
          <a:extLst>
            <a:ext uri="{FF2B5EF4-FFF2-40B4-BE49-F238E27FC236}">
              <a16:creationId xmlns:a16="http://schemas.microsoft.com/office/drawing/2014/main" id="{51B45825-6328-4B73-8023-CC34F7DDB09D}"/>
            </a:ext>
          </a:extLst>
        </xdr:cNvPr>
        <xdr:cNvSpPr/>
      </xdr:nvSpPr>
      <xdr:spPr>
        <a:xfrm>
          <a:off x="7820025" y="1238250"/>
          <a:ext cx="244985" cy="405432"/>
        </a:xfrm>
        <a:prstGeom prst="rect">
          <a:avLst/>
        </a:prstGeom>
        <a:noFill/>
      </xdr:spPr>
      <xdr:txBody>
        <a:bodyPr wrap="square" lIns="91440" tIns="45720" rIns="91440" bIns="45720">
          <a:spAutoFit/>
        </a:bodyPr>
        <a:lstStyle/>
        <a:p>
          <a:pPr algn="ctr"/>
          <a:r>
            <a:rPr lang="en-US" sz="2000" b="1" cap="none" spc="0">
              <a:ln w="22225">
                <a:solidFill>
                  <a:schemeClr val="accent2"/>
                </a:solidFill>
                <a:prstDash val="solid"/>
              </a:ln>
              <a:solidFill>
                <a:srgbClr val="FF0000"/>
              </a:solidFill>
              <a:effectLst/>
            </a:rPr>
            <a:t>C</a:t>
          </a:r>
        </a:p>
      </xdr:txBody>
    </xdr:sp>
    <xdr:clientData/>
  </xdr:oneCellAnchor>
  <xdr:oneCellAnchor>
    <xdr:from>
      <xdr:col>7</xdr:col>
      <xdr:colOff>542925</xdr:colOff>
      <xdr:row>6</xdr:row>
      <xdr:rowOff>104775</xdr:rowOff>
    </xdr:from>
    <xdr:ext cx="244985" cy="405432"/>
    <xdr:sp macro="" textlink="">
      <xdr:nvSpPr>
        <xdr:cNvPr id="5" name="Rectangle 4">
          <a:extLst>
            <a:ext uri="{FF2B5EF4-FFF2-40B4-BE49-F238E27FC236}">
              <a16:creationId xmlns:a16="http://schemas.microsoft.com/office/drawing/2014/main" id="{42641659-5CC1-472F-AADF-04165303093C}"/>
            </a:ext>
          </a:extLst>
        </xdr:cNvPr>
        <xdr:cNvSpPr/>
      </xdr:nvSpPr>
      <xdr:spPr>
        <a:xfrm>
          <a:off x="8372475" y="1247775"/>
          <a:ext cx="244985" cy="405432"/>
        </a:xfrm>
        <a:prstGeom prst="rect">
          <a:avLst/>
        </a:prstGeom>
        <a:noFill/>
      </xdr:spPr>
      <xdr:txBody>
        <a:bodyPr wrap="square" lIns="91440" tIns="45720" rIns="91440" bIns="45720">
          <a:spAutoFit/>
        </a:bodyPr>
        <a:lstStyle/>
        <a:p>
          <a:pPr algn="ctr"/>
          <a:r>
            <a:rPr lang="en-US" sz="2000" b="1" cap="none" spc="0">
              <a:ln w="22225">
                <a:solidFill>
                  <a:schemeClr val="accent2"/>
                </a:solidFill>
                <a:prstDash val="solid"/>
              </a:ln>
              <a:solidFill>
                <a:srgbClr val="FF0000"/>
              </a:solidFill>
              <a:effectLst/>
            </a:rPr>
            <a:t>D</a:t>
          </a:r>
        </a:p>
      </xdr:txBody>
    </xdr:sp>
    <xdr:clientData/>
  </xdr:oneCellAnchor>
  <xdr:oneCellAnchor>
    <xdr:from>
      <xdr:col>5</xdr:col>
      <xdr:colOff>123086</xdr:colOff>
      <xdr:row>15</xdr:row>
      <xdr:rowOff>93159</xdr:rowOff>
    </xdr:from>
    <xdr:ext cx="7469096" cy="1782924"/>
    <xdr:sp macro="" textlink="">
      <xdr:nvSpPr>
        <xdr:cNvPr id="6" name="Rectangle 5">
          <a:extLst>
            <a:ext uri="{FF2B5EF4-FFF2-40B4-BE49-F238E27FC236}">
              <a16:creationId xmlns:a16="http://schemas.microsoft.com/office/drawing/2014/main" id="{EAC95908-F3E3-485A-91D5-E42F9496ACDA}"/>
            </a:ext>
          </a:extLst>
        </xdr:cNvPr>
        <xdr:cNvSpPr/>
      </xdr:nvSpPr>
      <xdr:spPr>
        <a:xfrm rot="19261398">
          <a:off x="6752486" y="2969709"/>
          <a:ext cx="7469096" cy="1782924"/>
        </a:xfrm>
        <a:prstGeom prst="rect">
          <a:avLst/>
        </a:prstGeom>
        <a:noFill/>
      </xdr:spPr>
      <xdr:txBody>
        <a:bodyPr wrap="non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THIS TAB TO BE DELETED </a:t>
          </a:r>
        </a:p>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BEFORE UPLOAD TO IMS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om.gov.au/climate/data/index.shtml?bookmark=20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73"/>
  <sheetViews>
    <sheetView tabSelected="1" workbookViewId="0">
      <pane ySplit="5" topLeftCell="A9" activePane="bottomLeft" state="frozen"/>
      <selection pane="bottomLeft" activeCell="E12" sqref="E12"/>
    </sheetView>
  </sheetViews>
  <sheetFormatPr defaultRowHeight="14.5" x14ac:dyDescent="0.35"/>
  <cols>
    <col min="1" max="1" width="71.54296875" bestFit="1" customWidth="1"/>
    <col min="2" max="9" width="10.6328125" bestFit="1" customWidth="1"/>
    <col min="10" max="10" width="11" bestFit="1" customWidth="1"/>
    <col min="11" max="14" width="10.6328125" bestFit="1" customWidth="1"/>
    <col min="15" max="15" width="15.90625" bestFit="1" customWidth="1"/>
    <col min="16" max="16" width="9.453125" bestFit="1" customWidth="1"/>
    <col min="17" max="17" width="8.54296875" bestFit="1" customWidth="1"/>
  </cols>
  <sheetData>
    <row r="1" spans="1:19" ht="21" x14ac:dyDescent="0.5">
      <c r="A1" s="268" t="s">
        <v>269</v>
      </c>
      <c r="B1" s="62" t="s">
        <v>270</v>
      </c>
      <c r="C1" s="63"/>
      <c r="D1" s="63"/>
      <c r="E1" s="63"/>
      <c r="F1" s="63"/>
      <c r="G1" s="63"/>
      <c r="H1" s="63"/>
      <c r="I1" s="63"/>
      <c r="J1" s="63"/>
      <c r="K1" s="63"/>
      <c r="L1" s="63"/>
      <c r="M1" s="63"/>
      <c r="N1" s="63"/>
      <c r="O1" s="63"/>
      <c r="P1" s="63"/>
      <c r="Q1" s="63"/>
      <c r="R1" s="63"/>
      <c r="S1" s="63"/>
    </row>
    <row r="2" spans="1:19" ht="21" x14ac:dyDescent="0.5">
      <c r="A2" s="61"/>
      <c r="B2" s="62" t="s">
        <v>271</v>
      </c>
      <c r="C2" s="63"/>
      <c r="D2" s="63"/>
      <c r="E2" s="63"/>
      <c r="F2" s="63"/>
      <c r="G2" s="63"/>
      <c r="H2" s="63"/>
      <c r="I2" s="63"/>
      <c r="J2" s="63"/>
      <c r="K2" s="63"/>
      <c r="L2" s="63"/>
      <c r="M2" s="63"/>
      <c r="N2" s="63"/>
      <c r="O2" s="63"/>
      <c r="P2" s="63"/>
      <c r="Q2" s="63"/>
      <c r="R2" s="63"/>
      <c r="S2" s="63"/>
    </row>
    <row r="3" spans="1:19" ht="21" x14ac:dyDescent="0.5">
      <c r="A3" s="61"/>
      <c r="B3" s="62" t="s">
        <v>287</v>
      </c>
      <c r="C3" s="63"/>
      <c r="D3" s="63"/>
      <c r="E3" s="63"/>
      <c r="F3" s="63"/>
      <c r="G3" s="63"/>
      <c r="H3" s="63"/>
      <c r="I3" s="63"/>
      <c r="J3" s="63"/>
      <c r="K3" s="63"/>
      <c r="L3" s="63"/>
      <c r="M3" s="63"/>
      <c r="N3" s="63"/>
      <c r="O3" s="63"/>
      <c r="P3" s="63"/>
      <c r="Q3" s="63"/>
      <c r="R3" s="63"/>
      <c r="S3" s="63"/>
    </row>
    <row r="4" spans="1:19" ht="23.5" x14ac:dyDescent="0.55000000000000004">
      <c r="A4" s="44" t="s">
        <v>288</v>
      </c>
      <c r="B4" s="45"/>
      <c r="C4" s="45"/>
      <c r="D4" s="45"/>
      <c r="E4" s="45"/>
      <c r="F4" s="45"/>
      <c r="G4" s="45"/>
      <c r="H4" s="45"/>
      <c r="I4" s="45"/>
      <c r="J4" s="45"/>
      <c r="K4" s="45"/>
      <c r="L4" s="45"/>
      <c r="M4" s="45"/>
      <c r="N4" s="45"/>
      <c r="O4" s="45"/>
      <c r="P4" s="45"/>
      <c r="Q4" s="45"/>
      <c r="R4" s="45"/>
      <c r="S4" s="45"/>
    </row>
    <row r="5" spans="1:19" x14ac:dyDescent="0.35">
      <c r="A5" s="107" t="s">
        <v>299</v>
      </c>
      <c r="B5" s="107"/>
      <c r="C5" s="172"/>
    </row>
    <row r="6" spans="1:19" x14ac:dyDescent="0.35">
      <c r="A6" t="s">
        <v>300</v>
      </c>
    </row>
    <row r="7" spans="1:19" x14ac:dyDescent="0.35">
      <c r="E7" s="171"/>
    </row>
    <row r="8" spans="1:19" x14ac:dyDescent="0.35">
      <c r="A8" s="37" t="s">
        <v>301</v>
      </c>
    </row>
    <row r="9" spans="1:19" x14ac:dyDescent="0.35">
      <c r="A9" t="s">
        <v>302</v>
      </c>
    </row>
    <row r="10" spans="1:19" x14ac:dyDescent="0.35">
      <c r="A10" t="s">
        <v>296</v>
      </c>
    </row>
    <row r="11" spans="1:19" x14ac:dyDescent="0.35">
      <c r="A11" t="s">
        <v>303</v>
      </c>
    </row>
    <row r="12" spans="1:19" x14ac:dyDescent="0.35">
      <c r="A12" t="s">
        <v>304</v>
      </c>
    </row>
    <row r="13" spans="1:19" x14ac:dyDescent="0.35">
      <c r="A13" t="s">
        <v>305</v>
      </c>
    </row>
    <row r="14" spans="1:19" x14ac:dyDescent="0.35">
      <c r="A14" t="s">
        <v>306</v>
      </c>
    </row>
    <row r="15" spans="1:19" ht="15" thickBot="1" x14ac:dyDescent="0.4"/>
    <row r="16" spans="1:19" ht="26.5" thickBot="1" x14ac:dyDescent="0.4">
      <c r="A16" s="26" t="s">
        <v>93</v>
      </c>
      <c r="B16" s="27" t="s">
        <v>94</v>
      </c>
      <c r="C16" s="27" t="s">
        <v>95</v>
      </c>
      <c r="D16" s="27" t="s">
        <v>96</v>
      </c>
      <c r="E16" s="27" t="s">
        <v>97</v>
      </c>
      <c r="F16" s="27" t="s">
        <v>5</v>
      </c>
      <c r="G16" s="27" t="s">
        <v>98</v>
      </c>
      <c r="H16" s="27" t="s">
        <v>99</v>
      </c>
      <c r="I16" s="27" t="s">
        <v>100</v>
      </c>
      <c r="J16" s="27" t="s">
        <v>101</v>
      </c>
      <c r="K16" s="27" t="s">
        <v>102</v>
      </c>
      <c r="L16" s="27" t="s">
        <v>103</v>
      </c>
      <c r="M16" s="27" t="s">
        <v>104</v>
      </c>
      <c r="N16" s="27" t="s">
        <v>58</v>
      </c>
      <c r="O16" s="27" t="s">
        <v>105</v>
      </c>
      <c r="P16" s="27" t="s">
        <v>106</v>
      </c>
      <c r="Q16" s="27" t="s">
        <v>107</v>
      </c>
    </row>
    <row r="17" spans="1:17" x14ac:dyDescent="0.35">
      <c r="A17" s="30" t="s">
        <v>307</v>
      </c>
      <c r="B17" s="30">
        <v>25.8</v>
      </c>
      <c r="C17" s="30">
        <v>26.1</v>
      </c>
      <c r="D17" s="30">
        <v>23.8</v>
      </c>
      <c r="E17" s="30">
        <v>20.2</v>
      </c>
      <c r="F17" s="30">
        <v>17</v>
      </c>
      <c r="G17" s="30">
        <v>14.2</v>
      </c>
      <c r="H17" s="30">
        <v>13.7</v>
      </c>
      <c r="I17" s="30">
        <v>14.9</v>
      </c>
      <c r="J17" s="30">
        <v>16.899999999999999</v>
      </c>
      <c r="K17" s="30">
        <v>19.3</v>
      </c>
      <c r="L17" s="30">
        <v>21.7</v>
      </c>
      <c r="M17" s="30">
        <v>24</v>
      </c>
      <c r="N17" s="33">
        <v>19.8</v>
      </c>
      <c r="O17" s="30">
        <v>46</v>
      </c>
      <c r="P17" s="30">
        <v>1971</v>
      </c>
      <c r="Q17" s="30">
        <v>2018</v>
      </c>
    </row>
    <row r="18" spans="1:17" x14ac:dyDescent="0.35">
      <c r="A18" s="30" t="s">
        <v>308</v>
      </c>
      <c r="B18" s="30">
        <v>44.9</v>
      </c>
      <c r="C18" s="30">
        <v>46.7</v>
      </c>
      <c r="D18" s="30">
        <v>40.799999999999997</v>
      </c>
      <c r="E18" s="30">
        <v>34.9</v>
      </c>
      <c r="F18" s="30">
        <v>26.6</v>
      </c>
      <c r="G18" s="30">
        <v>23.7</v>
      </c>
      <c r="H18" s="30">
        <v>23.1</v>
      </c>
      <c r="I18" s="30">
        <v>25.6</v>
      </c>
      <c r="J18" s="30">
        <v>31.8</v>
      </c>
      <c r="K18" s="30">
        <v>36.200000000000003</v>
      </c>
      <c r="L18" s="30">
        <v>39.5</v>
      </c>
      <c r="M18" s="30">
        <v>43</v>
      </c>
      <c r="N18" s="33">
        <v>46.7</v>
      </c>
      <c r="O18" s="30">
        <v>46</v>
      </c>
      <c r="P18" s="30">
        <v>1971</v>
      </c>
      <c r="Q18" s="30">
        <v>2018</v>
      </c>
    </row>
    <row r="19" spans="1:17" x14ac:dyDescent="0.35">
      <c r="A19" s="30" t="s">
        <v>309</v>
      </c>
      <c r="B19" s="38">
        <v>39842</v>
      </c>
      <c r="C19" s="38">
        <v>39851</v>
      </c>
      <c r="D19" s="38">
        <v>42437</v>
      </c>
      <c r="E19" s="38">
        <v>38452</v>
      </c>
      <c r="F19" s="38">
        <v>26421</v>
      </c>
      <c r="G19" s="38">
        <v>38511</v>
      </c>
      <c r="H19" s="38">
        <v>41473</v>
      </c>
      <c r="I19" s="38">
        <v>30192</v>
      </c>
      <c r="J19" s="38">
        <v>32046</v>
      </c>
      <c r="K19" s="38">
        <v>39002</v>
      </c>
      <c r="L19" s="38">
        <v>41242</v>
      </c>
      <c r="M19" s="38">
        <v>38717</v>
      </c>
      <c r="N19" s="39">
        <v>39851</v>
      </c>
      <c r="O19" s="30" t="s">
        <v>109</v>
      </c>
      <c r="P19" s="30">
        <v>1971</v>
      </c>
      <c r="Q19" s="30">
        <v>2018</v>
      </c>
    </row>
    <row r="20" spans="1:17" x14ac:dyDescent="0.35">
      <c r="A20" s="30" t="s">
        <v>310</v>
      </c>
      <c r="B20" s="30">
        <v>15</v>
      </c>
      <c r="C20" s="30">
        <v>14.5</v>
      </c>
      <c r="D20" s="30">
        <v>14.5</v>
      </c>
      <c r="E20" s="30">
        <v>12.2</v>
      </c>
      <c r="F20" s="30">
        <v>8.4</v>
      </c>
      <c r="G20" s="30">
        <v>8.1999999999999993</v>
      </c>
      <c r="H20" s="30">
        <v>6.6</v>
      </c>
      <c r="I20" s="30">
        <v>8.8000000000000007</v>
      </c>
      <c r="J20" s="30">
        <v>9.4</v>
      </c>
      <c r="K20" s="30">
        <v>11.4</v>
      </c>
      <c r="L20" s="30">
        <v>12.5</v>
      </c>
      <c r="M20" s="30">
        <v>14.2</v>
      </c>
      <c r="N20" s="33">
        <v>6.6</v>
      </c>
      <c r="O20" s="30">
        <v>46</v>
      </c>
      <c r="P20" s="30">
        <v>1971</v>
      </c>
      <c r="Q20" s="30">
        <v>2018</v>
      </c>
    </row>
    <row r="21" spans="1:17" x14ac:dyDescent="0.35">
      <c r="A21" s="30" t="s">
        <v>311</v>
      </c>
      <c r="B21" s="38">
        <v>35066</v>
      </c>
      <c r="C21" s="38">
        <v>32905</v>
      </c>
      <c r="D21" s="38">
        <v>28580</v>
      </c>
      <c r="E21" s="38">
        <v>34796</v>
      </c>
      <c r="F21" s="38">
        <v>28276</v>
      </c>
      <c r="G21" s="38">
        <v>27564</v>
      </c>
      <c r="H21" s="38">
        <v>26852</v>
      </c>
      <c r="I21" s="38">
        <v>38574</v>
      </c>
      <c r="J21" s="38">
        <v>34947</v>
      </c>
      <c r="K21" s="38">
        <v>36076</v>
      </c>
      <c r="L21" s="38">
        <v>34277</v>
      </c>
      <c r="M21" s="38">
        <v>34329</v>
      </c>
      <c r="N21" s="39">
        <v>26852</v>
      </c>
      <c r="O21" s="30" t="s">
        <v>109</v>
      </c>
      <c r="P21" s="30">
        <v>1971</v>
      </c>
      <c r="Q21" s="30">
        <v>2018</v>
      </c>
    </row>
    <row r="22" spans="1:17" x14ac:dyDescent="0.35">
      <c r="A22" s="30" t="s">
        <v>312</v>
      </c>
      <c r="B22" s="30">
        <v>19.600000000000001</v>
      </c>
      <c r="C22" s="30">
        <v>19.899999999999999</v>
      </c>
      <c r="D22" s="30">
        <v>18.399999999999999</v>
      </c>
      <c r="E22" s="30">
        <v>15.9</v>
      </c>
      <c r="F22" s="30">
        <v>13.9</v>
      </c>
      <c r="G22" s="30">
        <v>11.8</v>
      </c>
      <c r="H22" s="30">
        <v>11.2</v>
      </c>
      <c r="I22" s="30">
        <v>12</v>
      </c>
      <c r="J22" s="30">
        <v>13.3</v>
      </c>
      <c r="K22" s="30">
        <v>14.6</v>
      </c>
      <c r="L22" s="30">
        <v>16.2</v>
      </c>
      <c r="M22" s="30">
        <v>18</v>
      </c>
      <c r="N22" s="33" t="s">
        <v>108</v>
      </c>
      <c r="O22" s="30">
        <v>47</v>
      </c>
      <c r="P22" s="30">
        <v>1971</v>
      </c>
      <c r="Q22" s="30">
        <v>2018</v>
      </c>
    </row>
    <row r="23" spans="1:17" x14ac:dyDescent="0.35">
      <c r="A23" s="30" t="s">
        <v>313</v>
      </c>
      <c r="B23" s="30">
        <v>35.299999999999997</v>
      </c>
      <c r="C23" s="30">
        <v>34.299999999999997</v>
      </c>
      <c r="D23" s="30">
        <v>31.5</v>
      </c>
      <c r="E23" s="30">
        <v>25.8</v>
      </c>
      <c r="F23" s="30">
        <v>21.2</v>
      </c>
      <c r="G23" s="30">
        <v>16.899999999999999</v>
      </c>
      <c r="H23" s="30">
        <v>16.3</v>
      </c>
      <c r="I23" s="30">
        <v>18.5</v>
      </c>
      <c r="J23" s="30">
        <v>22</v>
      </c>
      <c r="K23" s="30">
        <v>26</v>
      </c>
      <c r="L23" s="30">
        <v>29.8</v>
      </c>
      <c r="M23" s="30">
        <v>32.6</v>
      </c>
      <c r="N23" s="33" t="s">
        <v>108</v>
      </c>
      <c r="O23" s="30">
        <v>47</v>
      </c>
      <c r="P23" s="30">
        <v>1971</v>
      </c>
      <c r="Q23" s="30">
        <v>2018</v>
      </c>
    </row>
    <row r="24" spans="1:17" x14ac:dyDescent="0.35">
      <c r="A24" s="30" t="s">
        <v>314</v>
      </c>
      <c r="B24" s="30">
        <v>7</v>
      </c>
      <c r="C24" s="30">
        <v>7.1</v>
      </c>
      <c r="D24" s="30">
        <v>4.3</v>
      </c>
      <c r="E24" s="30">
        <v>0.3</v>
      </c>
      <c r="F24" s="30">
        <v>0</v>
      </c>
      <c r="G24" s="30">
        <v>0</v>
      </c>
      <c r="H24" s="30">
        <v>0</v>
      </c>
      <c r="I24" s="30">
        <v>0</v>
      </c>
      <c r="J24" s="30">
        <v>0</v>
      </c>
      <c r="K24" s="30">
        <v>0.8</v>
      </c>
      <c r="L24" s="30">
        <v>2.9</v>
      </c>
      <c r="M24" s="30">
        <v>5.0999999999999996</v>
      </c>
      <c r="N24" s="33">
        <v>27.5</v>
      </c>
      <c r="O24" s="30">
        <v>46</v>
      </c>
      <c r="P24" s="30">
        <v>1971</v>
      </c>
      <c r="Q24" s="30">
        <v>2018</v>
      </c>
    </row>
    <row r="25" spans="1:17" x14ac:dyDescent="0.35">
      <c r="A25" s="30" t="s">
        <v>315</v>
      </c>
      <c r="B25" s="30">
        <v>3.3</v>
      </c>
      <c r="C25" s="30">
        <v>2.1</v>
      </c>
      <c r="D25" s="30">
        <v>0.8</v>
      </c>
      <c r="E25" s="30">
        <v>0</v>
      </c>
      <c r="F25" s="30">
        <v>0</v>
      </c>
      <c r="G25" s="30">
        <v>0</v>
      </c>
      <c r="H25" s="30">
        <v>0</v>
      </c>
      <c r="I25" s="30">
        <v>0</v>
      </c>
      <c r="J25" s="30">
        <v>0</v>
      </c>
      <c r="K25" s="30">
        <v>0</v>
      </c>
      <c r="L25" s="30">
        <v>0.6</v>
      </c>
      <c r="M25" s="30">
        <v>1.9</v>
      </c>
      <c r="N25" s="33">
        <v>8.6999999999999993</v>
      </c>
      <c r="O25" s="30">
        <v>46</v>
      </c>
      <c r="P25" s="30">
        <v>1971</v>
      </c>
      <c r="Q25" s="30">
        <v>2018</v>
      </c>
    </row>
    <row r="26" spans="1:17" x14ac:dyDescent="0.35">
      <c r="A26" s="30" t="s">
        <v>316</v>
      </c>
      <c r="B26" s="30">
        <v>0.7</v>
      </c>
      <c r="C26" s="30">
        <v>0.2</v>
      </c>
      <c r="D26" s="30">
        <v>0.1</v>
      </c>
      <c r="E26" s="30">
        <v>0</v>
      </c>
      <c r="F26" s="30">
        <v>0</v>
      </c>
      <c r="G26" s="30">
        <v>0</v>
      </c>
      <c r="H26" s="30">
        <v>0</v>
      </c>
      <c r="I26" s="30">
        <v>0</v>
      </c>
      <c r="J26" s="30">
        <v>0</v>
      </c>
      <c r="K26" s="30">
        <v>0</v>
      </c>
      <c r="L26" s="30">
        <v>0</v>
      </c>
      <c r="M26" s="30">
        <v>0.2</v>
      </c>
      <c r="N26" s="33">
        <v>1.2</v>
      </c>
      <c r="O26" s="30">
        <v>46</v>
      </c>
      <c r="P26" s="30">
        <v>1971</v>
      </c>
      <c r="Q26" s="30">
        <v>2018</v>
      </c>
    </row>
    <row r="27" spans="1:17" x14ac:dyDescent="0.35">
      <c r="A27" s="30" t="s">
        <v>317</v>
      </c>
      <c r="B27" s="30">
        <v>14.3</v>
      </c>
      <c r="C27" s="30">
        <v>14.4</v>
      </c>
      <c r="D27" s="30">
        <v>13</v>
      </c>
      <c r="E27" s="30">
        <v>10.5</v>
      </c>
      <c r="F27" s="30">
        <v>8.6999999999999993</v>
      </c>
      <c r="G27" s="30">
        <v>6.7</v>
      </c>
      <c r="H27" s="30">
        <v>6.2</v>
      </c>
      <c r="I27" s="30">
        <v>6.9</v>
      </c>
      <c r="J27" s="30">
        <v>8.1</v>
      </c>
      <c r="K27" s="30">
        <v>9.3000000000000007</v>
      </c>
      <c r="L27" s="30">
        <v>11.1</v>
      </c>
      <c r="M27" s="30">
        <v>12.7</v>
      </c>
      <c r="N27" s="33">
        <v>10.199999999999999</v>
      </c>
      <c r="O27" s="30">
        <v>46</v>
      </c>
      <c r="P27" s="30">
        <v>1971</v>
      </c>
      <c r="Q27" s="30">
        <v>2018</v>
      </c>
    </row>
    <row r="28" spans="1:17" x14ac:dyDescent="0.35">
      <c r="A28" s="30" t="s">
        <v>318</v>
      </c>
      <c r="B28" s="30">
        <v>6</v>
      </c>
      <c r="C28" s="30">
        <v>5.2</v>
      </c>
      <c r="D28" s="30">
        <v>2.9</v>
      </c>
      <c r="E28" s="30">
        <v>1</v>
      </c>
      <c r="F28" s="30">
        <v>0</v>
      </c>
      <c r="G28" s="30">
        <v>-2.2000000000000002</v>
      </c>
      <c r="H28" s="30">
        <v>-3.8</v>
      </c>
      <c r="I28" s="30">
        <v>-2.8</v>
      </c>
      <c r="J28" s="30">
        <v>-1.8</v>
      </c>
      <c r="K28" s="30">
        <v>0.6</v>
      </c>
      <c r="L28" s="30">
        <v>2.2000000000000002</v>
      </c>
      <c r="M28" s="30">
        <v>1.3</v>
      </c>
      <c r="N28" s="33">
        <v>-3.8</v>
      </c>
      <c r="O28" s="30">
        <v>46</v>
      </c>
      <c r="P28" s="30">
        <v>1971</v>
      </c>
      <c r="Q28" s="30">
        <v>2018</v>
      </c>
    </row>
    <row r="29" spans="1:17" x14ac:dyDescent="0.35">
      <c r="A29" s="30" t="s">
        <v>319</v>
      </c>
      <c r="B29" s="38">
        <v>39816</v>
      </c>
      <c r="C29" s="38">
        <v>30009</v>
      </c>
      <c r="D29" s="38">
        <v>34041</v>
      </c>
      <c r="E29" s="38">
        <v>36279</v>
      </c>
      <c r="F29" s="38">
        <v>39592</v>
      </c>
      <c r="G29" s="38">
        <v>26474</v>
      </c>
      <c r="H29" s="38">
        <v>35641</v>
      </c>
      <c r="I29" s="38">
        <v>35646</v>
      </c>
      <c r="J29" s="38">
        <v>35702</v>
      </c>
      <c r="K29" s="38">
        <v>34271</v>
      </c>
      <c r="L29" s="38">
        <v>29529</v>
      </c>
      <c r="M29" s="38">
        <v>33940</v>
      </c>
      <c r="N29" s="39">
        <v>35641</v>
      </c>
      <c r="O29" s="30" t="s">
        <v>109</v>
      </c>
      <c r="P29" s="30">
        <v>1971</v>
      </c>
      <c r="Q29" s="30">
        <v>2018</v>
      </c>
    </row>
    <row r="30" spans="1:17" x14ac:dyDescent="0.35">
      <c r="A30" s="30" t="s">
        <v>320</v>
      </c>
      <c r="B30" s="30">
        <v>28.7</v>
      </c>
      <c r="C30" s="30">
        <v>25.3</v>
      </c>
      <c r="D30" s="30">
        <v>24</v>
      </c>
      <c r="E30" s="30">
        <v>22.6</v>
      </c>
      <c r="F30" s="30">
        <v>18.399999999999999</v>
      </c>
      <c r="G30" s="30">
        <v>15.7</v>
      </c>
      <c r="H30" s="30">
        <v>14.6</v>
      </c>
      <c r="I30" s="30">
        <v>16.8</v>
      </c>
      <c r="J30" s="30">
        <v>20.100000000000001</v>
      </c>
      <c r="K30" s="30">
        <v>23.1</v>
      </c>
      <c r="L30" s="30">
        <v>24.2</v>
      </c>
      <c r="M30" s="30">
        <v>28.5</v>
      </c>
      <c r="N30" s="33">
        <v>28.7</v>
      </c>
      <c r="O30" s="30">
        <v>46</v>
      </c>
      <c r="P30" s="30">
        <v>1971</v>
      </c>
      <c r="Q30" s="30">
        <v>2018</v>
      </c>
    </row>
    <row r="31" spans="1:17" x14ac:dyDescent="0.35">
      <c r="A31" s="30" t="s">
        <v>321</v>
      </c>
      <c r="B31" s="38">
        <v>42743</v>
      </c>
      <c r="C31" s="38">
        <v>29626</v>
      </c>
      <c r="D31" s="38">
        <v>39525</v>
      </c>
      <c r="E31" s="38">
        <v>41731</v>
      </c>
      <c r="F31" s="38">
        <v>32998</v>
      </c>
      <c r="G31" s="38">
        <v>37414</v>
      </c>
      <c r="H31" s="38">
        <v>34153</v>
      </c>
      <c r="I31" s="38">
        <v>38225</v>
      </c>
      <c r="J31" s="38">
        <v>36432</v>
      </c>
      <c r="K31" s="38">
        <v>43027</v>
      </c>
      <c r="L31" s="38">
        <v>31013</v>
      </c>
      <c r="M31" s="38">
        <v>42358</v>
      </c>
      <c r="N31" s="39">
        <v>42743</v>
      </c>
      <c r="O31" s="30" t="s">
        <v>109</v>
      </c>
      <c r="P31" s="30">
        <v>1971</v>
      </c>
      <c r="Q31" s="30">
        <v>2018</v>
      </c>
    </row>
    <row r="32" spans="1:17" x14ac:dyDescent="0.35">
      <c r="A32" s="30" t="s">
        <v>322</v>
      </c>
      <c r="B32" s="30">
        <v>10.199999999999999</v>
      </c>
      <c r="C32" s="30">
        <v>10.3</v>
      </c>
      <c r="D32" s="30">
        <v>8.8000000000000007</v>
      </c>
      <c r="E32" s="30">
        <v>6</v>
      </c>
      <c r="F32" s="30">
        <v>4.3</v>
      </c>
      <c r="G32" s="30">
        <v>2.2999999999999998</v>
      </c>
      <c r="H32" s="30">
        <v>1.9</v>
      </c>
      <c r="I32" s="30">
        <v>3</v>
      </c>
      <c r="J32" s="30">
        <v>3.9</v>
      </c>
      <c r="K32" s="30">
        <v>5.0999999999999996</v>
      </c>
      <c r="L32" s="30">
        <v>7.1</v>
      </c>
      <c r="M32" s="30">
        <v>9</v>
      </c>
      <c r="N32" s="33" t="s">
        <v>108</v>
      </c>
      <c r="O32" s="30">
        <v>47</v>
      </c>
      <c r="P32" s="30">
        <v>1971</v>
      </c>
      <c r="Q32" s="30">
        <v>2018</v>
      </c>
    </row>
    <row r="33" spans="1:17" x14ac:dyDescent="0.35">
      <c r="A33" s="30" t="s">
        <v>323</v>
      </c>
      <c r="B33" s="30">
        <v>18.5</v>
      </c>
      <c r="C33" s="30">
        <v>18.5</v>
      </c>
      <c r="D33" s="30">
        <v>17.3</v>
      </c>
      <c r="E33" s="30">
        <v>14.6</v>
      </c>
      <c r="F33" s="30">
        <v>12.7</v>
      </c>
      <c r="G33" s="30">
        <v>10.6</v>
      </c>
      <c r="H33" s="30">
        <v>9.6999999999999993</v>
      </c>
      <c r="I33" s="30">
        <v>10.199999999999999</v>
      </c>
      <c r="J33" s="30">
        <v>11.7</v>
      </c>
      <c r="K33" s="30">
        <v>13.4</v>
      </c>
      <c r="L33" s="30">
        <v>15.2</v>
      </c>
      <c r="M33" s="30">
        <v>16.600000000000001</v>
      </c>
      <c r="N33" s="33" t="s">
        <v>108</v>
      </c>
      <c r="O33" s="30">
        <v>47</v>
      </c>
      <c r="P33" s="30">
        <v>1971</v>
      </c>
      <c r="Q33" s="30">
        <v>2018</v>
      </c>
    </row>
    <row r="34" spans="1:17" x14ac:dyDescent="0.35">
      <c r="A34" s="30" t="s">
        <v>324</v>
      </c>
      <c r="B34" s="30">
        <v>0</v>
      </c>
      <c r="C34" s="30">
        <v>0</v>
      </c>
      <c r="D34" s="30">
        <v>0</v>
      </c>
      <c r="E34" s="30">
        <v>0.2</v>
      </c>
      <c r="F34" s="30">
        <v>0.7</v>
      </c>
      <c r="G34" s="30">
        <v>2.6</v>
      </c>
      <c r="H34" s="30">
        <v>3.3</v>
      </c>
      <c r="I34" s="30">
        <v>1.7</v>
      </c>
      <c r="J34" s="30">
        <v>0.7</v>
      </c>
      <c r="K34" s="30">
        <v>0.1</v>
      </c>
      <c r="L34" s="30">
        <v>0</v>
      </c>
      <c r="M34" s="30">
        <v>0</v>
      </c>
      <c r="N34" s="33">
        <v>9.3000000000000007</v>
      </c>
      <c r="O34" s="30">
        <v>46</v>
      </c>
      <c r="P34" s="30">
        <v>1971</v>
      </c>
      <c r="Q34" s="30">
        <v>2018</v>
      </c>
    </row>
    <row r="35" spans="1:17" x14ac:dyDescent="0.35">
      <c r="A35" s="30" t="s">
        <v>325</v>
      </c>
      <c r="B35" s="30">
        <v>0</v>
      </c>
      <c r="C35" s="30">
        <v>0</v>
      </c>
      <c r="D35" s="30">
        <v>0</v>
      </c>
      <c r="E35" s="30">
        <v>0</v>
      </c>
      <c r="F35" s="30">
        <v>0</v>
      </c>
      <c r="G35" s="30">
        <v>0.6</v>
      </c>
      <c r="H35" s="30">
        <v>1.1000000000000001</v>
      </c>
      <c r="I35" s="30">
        <v>0.3</v>
      </c>
      <c r="J35" s="30">
        <v>0.1</v>
      </c>
      <c r="K35" s="30">
        <v>0</v>
      </c>
      <c r="L35" s="30">
        <v>0</v>
      </c>
      <c r="M35" s="30">
        <v>0</v>
      </c>
      <c r="N35" s="33">
        <v>2.1</v>
      </c>
      <c r="O35" s="30">
        <v>46</v>
      </c>
      <c r="P35" s="30">
        <v>1971</v>
      </c>
      <c r="Q35" s="30">
        <v>2018</v>
      </c>
    </row>
    <row r="36" spans="1:17" x14ac:dyDescent="0.35">
      <c r="A36" s="30" t="s">
        <v>289</v>
      </c>
      <c r="B36" s="30" t="s">
        <v>108</v>
      </c>
      <c r="C36" s="30" t="s">
        <v>108</v>
      </c>
      <c r="D36" s="30" t="s">
        <v>108</v>
      </c>
      <c r="E36" s="30" t="s">
        <v>108</v>
      </c>
      <c r="F36" s="30" t="s">
        <v>108</v>
      </c>
      <c r="G36" s="30" t="s">
        <v>108</v>
      </c>
      <c r="H36" s="30" t="s">
        <v>108</v>
      </c>
      <c r="I36" s="30" t="s">
        <v>108</v>
      </c>
      <c r="J36" s="30" t="s">
        <v>108</v>
      </c>
      <c r="K36" s="30" t="s">
        <v>108</v>
      </c>
      <c r="L36" s="30" t="s">
        <v>108</v>
      </c>
      <c r="M36" s="30" t="s">
        <v>108</v>
      </c>
      <c r="N36" s="33" t="s">
        <v>108</v>
      </c>
      <c r="O36" s="30"/>
      <c r="P36" s="30" t="s">
        <v>108</v>
      </c>
      <c r="Q36" s="30" t="s">
        <v>108</v>
      </c>
    </row>
    <row r="37" spans="1:17" x14ac:dyDescent="0.35">
      <c r="A37" s="30" t="s">
        <v>290</v>
      </c>
      <c r="B37" s="30" t="s">
        <v>108</v>
      </c>
      <c r="C37" s="30" t="s">
        <v>108</v>
      </c>
      <c r="D37" s="30" t="s">
        <v>108</v>
      </c>
      <c r="E37" s="30" t="s">
        <v>108</v>
      </c>
      <c r="F37" s="30" t="s">
        <v>108</v>
      </c>
      <c r="G37" s="30" t="s">
        <v>108</v>
      </c>
      <c r="H37" s="30" t="s">
        <v>108</v>
      </c>
      <c r="I37" s="30" t="s">
        <v>108</v>
      </c>
      <c r="J37" s="30" t="s">
        <v>108</v>
      </c>
      <c r="K37" s="30" t="s">
        <v>108</v>
      </c>
      <c r="L37" s="30" t="s">
        <v>108</v>
      </c>
      <c r="M37" s="30" t="s">
        <v>108</v>
      </c>
      <c r="N37" s="33" t="s">
        <v>108</v>
      </c>
      <c r="O37" s="30"/>
      <c r="P37" s="30" t="s">
        <v>108</v>
      </c>
      <c r="Q37" s="30" t="s">
        <v>108</v>
      </c>
    </row>
    <row r="38" spans="1:17" x14ac:dyDescent="0.35">
      <c r="A38" s="30" t="s">
        <v>291</v>
      </c>
      <c r="B38" s="38" t="s">
        <v>108</v>
      </c>
      <c r="C38" s="38" t="s">
        <v>108</v>
      </c>
      <c r="D38" s="38" t="s">
        <v>108</v>
      </c>
      <c r="E38" s="38" t="s">
        <v>108</v>
      </c>
      <c r="F38" s="38" t="s">
        <v>108</v>
      </c>
      <c r="G38" s="38" t="s">
        <v>108</v>
      </c>
      <c r="H38" s="38" t="s">
        <v>108</v>
      </c>
      <c r="I38" s="38" t="s">
        <v>108</v>
      </c>
      <c r="J38" s="38" t="s">
        <v>108</v>
      </c>
      <c r="K38" s="38" t="s">
        <v>108</v>
      </c>
      <c r="L38" s="38" t="s">
        <v>108</v>
      </c>
      <c r="M38" s="38" t="s">
        <v>108</v>
      </c>
      <c r="N38" s="39" t="s">
        <v>108</v>
      </c>
      <c r="O38" s="30" t="s">
        <v>109</v>
      </c>
      <c r="P38" s="30" t="s">
        <v>108</v>
      </c>
      <c r="Q38" s="30" t="s">
        <v>108</v>
      </c>
    </row>
    <row r="39" spans="1:17" x14ac:dyDescent="0.35">
      <c r="A39" s="30" t="s">
        <v>292</v>
      </c>
      <c r="B39" s="30" t="s">
        <v>108</v>
      </c>
      <c r="C39" s="30" t="s">
        <v>108</v>
      </c>
      <c r="D39" s="30" t="s">
        <v>108</v>
      </c>
      <c r="E39" s="30" t="s">
        <v>108</v>
      </c>
      <c r="F39" s="30" t="s">
        <v>108</v>
      </c>
      <c r="G39" s="30" t="s">
        <v>108</v>
      </c>
      <c r="H39" s="30" t="s">
        <v>108</v>
      </c>
      <c r="I39" s="30" t="s">
        <v>108</v>
      </c>
      <c r="J39" s="30" t="s">
        <v>108</v>
      </c>
      <c r="K39" s="30" t="s">
        <v>108</v>
      </c>
      <c r="L39" s="30" t="s">
        <v>108</v>
      </c>
      <c r="M39" s="30" t="s">
        <v>108</v>
      </c>
      <c r="N39" s="33" t="s">
        <v>108</v>
      </c>
      <c r="O39" s="30"/>
      <c r="P39" s="30" t="s">
        <v>108</v>
      </c>
      <c r="Q39" s="30" t="s">
        <v>108</v>
      </c>
    </row>
    <row r="40" spans="1:17" x14ac:dyDescent="0.35">
      <c r="A40" s="31" t="s">
        <v>326</v>
      </c>
      <c r="B40" s="31">
        <v>44.4</v>
      </c>
      <c r="C40" s="31">
        <v>45</v>
      </c>
      <c r="D40" s="31">
        <v>43.7</v>
      </c>
      <c r="E40" s="31">
        <v>62.5</v>
      </c>
      <c r="F40" s="31">
        <v>68.900000000000006</v>
      </c>
      <c r="G40" s="31">
        <v>55.9</v>
      </c>
      <c r="H40" s="31">
        <v>61.7</v>
      </c>
      <c r="I40" s="31">
        <v>65.099999999999994</v>
      </c>
      <c r="J40" s="31">
        <v>64.599999999999994</v>
      </c>
      <c r="K40" s="31">
        <v>68.8</v>
      </c>
      <c r="L40" s="31">
        <v>62.4</v>
      </c>
      <c r="M40" s="31">
        <v>60.5</v>
      </c>
      <c r="N40" s="34">
        <v>707.8</v>
      </c>
      <c r="O40" s="31">
        <v>61</v>
      </c>
      <c r="P40" s="31">
        <v>1950</v>
      </c>
      <c r="Q40" s="31">
        <v>2018</v>
      </c>
    </row>
    <row r="41" spans="1:17" x14ac:dyDescent="0.35">
      <c r="A41" s="31" t="s">
        <v>327</v>
      </c>
      <c r="B41" s="31">
        <v>137</v>
      </c>
      <c r="C41" s="31">
        <v>215.2</v>
      </c>
      <c r="D41" s="31">
        <v>129.6</v>
      </c>
      <c r="E41" s="31">
        <v>158.80000000000001</v>
      </c>
      <c r="F41" s="31">
        <v>160.1</v>
      </c>
      <c r="G41" s="31">
        <v>139.80000000000001</v>
      </c>
      <c r="H41" s="31">
        <v>165</v>
      </c>
      <c r="I41" s="31">
        <v>127.7</v>
      </c>
      <c r="J41" s="31">
        <v>122.2</v>
      </c>
      <c r="K41" s="31">
        <v>165.4</v>
      </c>
      <c r="L41" s="31">
        <v>180.6</v>
      </c>
      <c r="M41" s="31">
        <v>146.6</v>
      </c>
      <c r="N41" s="34">
        <v>965.9</v>
      </c>
      <c r="O41" s="31">
        <v>65</v>
      </c>
      <c r="P41" s="31">
        <v>1950</v>
      </c>
      <c r="Q41" s="31">
        <v>2018</v>
      </c>
    </row>
    <row r="42" spans="1:17" x14ac:dyDescent="0.35">
      <c r="A42" s="31" t="s">
        <v>328</v>
      </c>
      <c r="B42" s="31">
        <v>1991</v>
      </c>
      <c r="C42" s="31">
        <v>2011</v>
      </c>
      <c r="D42" s="31">
        <v>1970</v>
      </c>
      <c r="E42" s="31">
        <v>2001</v>
      </c>
      <c r="F42" s="31">
        <v>1962</v>
      </c>
      <c r="G42" s="31">
        <v>1991</v>
      </c>
      <c r="H42" s="31">
        <v>1952</v>
      </c>
      <c r="I42" s="31">
        <v>1975</v>
      </c>
      <c r="J42" s="31">
        <v>1959</v>
      </c>
      <c r="K42" s="31">
        <v>1975</v>
      </c>
      <c r="L42" s="31">
        <v>1983</v>
      </c>
      <c r="M42" s="31">
        <v>1954</v>
      </c>
      <c r="N42" s="34">
        <v>1970</v>
      </c>
      <c r="O42" s="31" t="s">
        <v>109</v>
      </c>
      <c r="P42" s="31">
        <v>1950</v>
      </c>
      <c r="Q42" s="31">
        <v>2018</v>
      </c>
    </row>
    <row r="43" spans="1:17" x14ac:dyDescent="0.35">
      <c r="A43" s="31" t="s">
        <v>329</v>
      </c>
      <c r="B43" s="31">
        <v>1.2</v>
      </c>
      <c r="C43" s="31">
        <v>0.3</v>
      </c>
      <c r="D43" s="31">
        <v>5.4</v>
      </c>
      <c r="E43" s="31">
        <v>8.1999999999999993</v>
      </c>
      <c r="F43" s="31">
        <v>15.2</v>
      </c>
      <c r="G43" s="31">
        <v>5.6</v>
      </c>
      <c r="H43" s="31">
        <v>12.4</v>
      </c>
      <c r="I43" s="31">
        <v>12</v>
      </c>
      <c r="J43" s="31">
        <v>24.8</v>
      </c>
      <c r="K43" s="31">
        <v>7.4</v>
      </c>
      <c r="L43" s="31">
        <v>5.0999999999999996</v>
      </c>
      <c r="M43" s="31">
        <v>2.9</v>
      </c>
      <c r="N43" s="34">
        <v>443.8</v>
      </c>
      <c r="O43" s="31">
        <v>65</v>
      </c>
      <c r="P43" s="31">
        <v>1950</v>
      </c>
      <c r="Q43" s="31">
        <v>2018</v>
      </c>
    </row>
    <row r="44" spans="1:17" x14ac:dyDescent="0.35">
      <c r="A44" s="31" t="s">
        <v>330</v>
      </c>
      <c r="B44" s="31">
        <v>1990</v>
      </c>
      <c r="C44" s="31">
        <v>1956</v>
      </c>
      <c r="D44" s="31">
        <v>1951</v>
      </c>
      <c r="E44" s="31">
        <v>1963</v>
      </c>
      <c r="F44" s="31">
        <v>2005</v>
      </c>
      <c r="G44" s="31">
        <v>1994</v>
      </c>
      <c r="H44" s="31">
        <v>1994</v>
      </c>
      <c r="I44" s="31">
        <v>1994</v>
      </c>
      <c r="J44" s="31">
        <v>2008</v>
      </c>
      <c r="K44" s="31">
        <v>2006</v>
      </c>
      <c r="L44" s="31">
        <v>1961</v>
      </c>
      <c r="M44" s="31">
        <v>1972</v>
      </c>
      <c r="N44" s="34">
        <v>1967</v>
      </c>
      <c r="O44" s="31" t="s">
        <v>109</v>
      </c>
      <c r="P44" s="31">
        <v>1950</v>
      </c>
      <c r="Q44" s="31">
        <v>2018</v>
      </c>
    </row>
    <row r="45" spans="1:17" x14ac:dyDescent="0.35">
      <c r="A45" s="31" t="s">
        <v>331</v>
      </c>
      <c r="B45" s="31">
        <v>14.9</v>
      </c>
      <c r="C45" s="31">
        <v>4.5</v>
      </c>
      <c r="D45" s="31">
        <v>16.5</v>
      </c>
      <c r="E45" s="31">
        <v>23.6</v>
      </c>
      <c r="F45" s="31">
        <v>29.2</v>
      </c>
      <c r="G45" s="31">
        <v>22.9</v>
      </c>
      <c r="H45" s="31">
        <v>29.7</v>
      </c>
      <c r="I45" s="31">
        <v>36.1</v>
      </c>
      <c r="J45" s="31">
        <v>37.700000000000003</v>
      </c>
      <c r="K45" s="31">
        <v>28.2</v>
      </c>
      <c r="L45" s="31">
        <v>22.6</v>
      </c>
      <c r="M45" s="31">
        <v>22.2</v>
      </c>
      <c r="N45" s="34">
        <v>528.6</v>
      </c>
      <c r="O45" s="31">
        <v>65</v>
      </c>
      <c r="P45" s="31">
        <v>1950</v>
      </c>
      <c r="Q45" s="31">
        <v>2018</v>
      </c>
    </row>
    <row r="46" spans="1:17" x14ac:dyDescent="0.35">
      <c r="A46" s="31" t="s">
        <v>332</v>
      </c>
      <c r="B46" s="31">
        <v>38</v>
      </c>
      <c r="C46" s="31">
        <v>33.6</v>
      </c>
      <c r="D46" s="31">
        <v>39.799999999999997</v>
      </c>
      <c r="E46" s="31">
        <v>62.5</v>
      </c>
      <c r="F46" s="31">
        <v>65.400000000000006</v>
      </c>
      <c r="G46" s="31">
        <v>55.8</v>
      </c>
      <c r="H46" s="31">
        <v>60.6</v>
      </c>
      <c r="I46" s="31">
        <v>64.8</v>
      </c>
      <c r="J46" s="31">
        <v>59.6</v>
      </c>
      <c r="K46" s="31">
        <v>66.099999999999994</v>
      </c>
      <c r="L46" s="31">
        <v>54.6</v>
      </c>
      <c r="M46" s="31">
        <v>57.6</v>
      </c>
      <c r="N46" s="34">
        <v>708.9</v>
      </c>
      <c r="O46" s="31">
        <v>65</v>
      </c>
      <c r="P46" s="31">
        <v>1950</v>
      </c>
      <c r="Q46" s="31">
        <v>2018</v>
      </c>
    </row>
    <row r="47" spans="1:17" x14ac:dyDescent="0.35">
      <c r="A47" s="31" t="s">
        <v>333</v>
      </c>
      <c r="B47" s="31">
        <v>91.7</v>
      </c>
      <c r="C47" s="31">
        <v>89.5</v>
      </c>
      <c r="D47" s="31">
        <v>74.400000000000006</v>
      </c>
      <c r="E47" s="31">
        <v>107</v>
      </c>
      <c r="F47" s="31">
        <v>108.6</v>
      </c>
      <c r="G47" s="31">
        <v>85.1</v>
      </c>
      <c r="H47" s="31">
        <v>94.9</v>
      </c>
      <c r="I47" s="31">
        <v>95.4</v>
      </c>
      <c r="J47" s="31">
        <v>99.3</v>
      </c>
      <c r="K47" s="31">
        <v>108.4</v>
      </c>
      <c r="L47" s="31">
        <v>110.6</v>
      </c>
      <c r="M47" s="31">
        <v>105.4</v>
      </c>
      <c r="N47" s="34">
        <v>884.9</v>
      </c>
      <c r="O47" s="31">
        <v>65</v>
      </c>
      <c r="P47" s="31">
        <v>1950</v>
      </c>
      <c r="Q47" s="31">
        <v>2018</v>
      </c>
    </row>
    <row r="48" spans="1:17" x14ac:dyDescent="0.35">
      <c r="A48" s="31" t="s">
        <v>334</v>
      </c>
      <c r="B48" s="31">
        <v>91</v>
      </c>
      <c r="C48" s="31">
        <v>140.80000000000001</v>
      </c>
      <c r="D48" s="31">
        <v>45</v>
      </c>
      <c r="E48" s="31">
        <v>64</v>
      </c>
      <c r="F48" s="31">
        <v>53.2</v>
      </c>
      <c r="G48" s="31">
        <v>51.3</v>
      </c>
      <c r="H48" s="31">
        <v>61.5</v>
      </c>
      <c r="I48" s="31">
        <v>42.8</v>
      </c>
      <c r="J48" s="31">
        <v>53.3</v>
      </c>
      <c r="K48" s="31">
        <v>72</v>
      </c>
      <c r="L48" s="31">
        <v>61.4</v>
      </c>
      <c r="M48" s="31">
        <v>85.6</v>
      </c>
      <c r="N48" s="34">
        <v>140.80000000000001</v>
      </c>
      <c r="O48" s="31">
        <v>64</v>
      </c>
      <c r="P48" s="31">
        <v>1950</v>
      </c>
      <c r="Q48" s="31">
        <v>2018</v>
      </c>
    </row>
    <row r="49" spans="1:17" x14ac:dyDescent="0.35">
      <c r="A49" s="31" t="s">
        <v>335</v>
      </c>
      <c r="B49" s="40">
        <v>35808</v>
      </c>
      <c r="C49" s="40">
        <v>40579</v>
      </c>
      <c r="D49" s="40">
        <v>35497</v>
      </c>
      <c r="E49" s="40">
        <v>37003</v>
      </c>
      <c r="F49" s="40">
        <v>27164</v>
      </c>
      <c r="G49" s="40">
        <v>18792</v>
      </c>
      <c r="H49" s="40">
        <v>19189</v>
      </c>
      <c r="I49" s="40">
        <v>28709</v>
      </c>
      <c r="J49" s="40">
        <v>21813</v>
      </c>
      <c r="K49" s="40">
        <v>40482</v>
      </c>
      <c r="L49" s="40">
        <v>30649</v>
      </c>
      <c r="M49" s="40">
        <v>20062</v>
      </c>
      <c r="N49" s="41">
        <v>40579</v>
      </c>
      <c r="O49" s="31" t="s">
        <v>109</v>
      </c>
      <c r="P49" s="31">
        <v>1950</v>
      </c>
      <c r="Q49" s="31">
        <v>2018</v>
      </c>
    </row>
    <row r="50" spans="1:17" x14ac:dyDescent="0.35">
      <c r="A50" s="31" t="s">
        <v>336</v>
      </c>
      <c r="B50" s="31">
        <v>7.9</v>
      </c>
      <c r="C50" s="31">
        <v>6.9</v>
      </c>
      <c r="D50" s="31">
        <v>9.1</v>
      </c>
      <c r="E50" s="31">
        <v>11.6</v>
      </c>
      <c r="F50" s="31">
        <v>14.8</v>
      </c>
      <c r="G50" s="31">
        <v>14.8</v>
      </c>
      <c r="H50" s="31">
        <v>17</v>
      </c>
      <c r="I50" s="31">
        <v>17</v>
      </c>
      <c r="J50" s="31">
        <v>14.6</v>
      </c>
      <c r="K50" s="31">
        <v>13.9</v>
      </c>
      <c r="L50" s="31">
        <v>12.2</v>
      </c>
      <c r="M50" s="31">
        <v>10.1</v>
      </c>
      <c r="N50" s="34">
        <v>149.9</v>
      </c>
      <c r="O50" s="31">
        <v>65</v>
      </c>
      <c r="P50" s="31">
        <v>1950</v>
      </c>
      <c r="Q50" s="31">
        <v>2018</v>
      </c>
    </row>
    <row r="51" spans="1:17" x14ac:dyDescent="0.35">
      <c r="A51" s="31" t="s">
        <v>337</v>
      </c>
      <c r="B51" s="31">
        <v>5.4</v>
      </c>
      <c r="C51" s="31">
        <v>4.5</v>
      </c>
      <c r="D51" s="31">
        <v>5.8</v>
      </c>
      <c r="E51" s="31">
        <v>8.1</v>
      </c>
      <c r="F51" s="31">
        <v>10.8</v>
      </c>
      <c r="G51" s="31">
        <v>9.8000000000000007</v>
      </c>
      <c r="H51" s="31">
        <v>11.4</v>
      </c>
      <c r="I51" s="31">
        <v>12.1</v>
      </c>
      <c r="J51" s="31">
        <v>10.5</v>
      </c>
      <c r="K51" s="31">
        <v>9.8000000000000007</v>
      </c>
      <c r="L51" s="31">
        <v>8.6</v>
      </c>
      <c r="M51" s="31">
        <v>7.2</v>
      </c>
      <c r="N51" s="34">
        <v>104</v>
      </c>
      <c r="O51" s="31">
        <v>64</v>
      </c>
      <c r="P51" s="31">
        <v>1950</v>
      </c>
      <c r="Q51" s="31">
        <v>2018</v>
      </c>
    </row>
    <row r="52" spans="1:17" x14ac:dyDescent="0.35">
      <c r="A52" s="31" t="s">
        <v>338</v>
      </c>
      <c r="B52" s="31">
        <v>1.4</v>
      </c>
      <c r="C52" s="31">
        <v>1.4</v>
      </c>
      <c r="D52" s="31">
        <v>1.4</v>
      </c>
      <c r="E52" s="31">
        <v>1.8</v>
      </c>
      <c r="F52" s="31">
        <v>2</v>
      </c>
      <c r="G52" s="31">
        <v>1.5</v>
      </c>
      <c r="H52" s="31">
        <v>1.4</v>
      </c>
      <c r="I52" s="31">
        <v>1.7</v>
      </c>
      <c r="J52" s="31">
        <v>1.9</v>
      </c>
      <c r="K52" s="31">
        <v>2.1</v>
      </c>
      <c r="L52" s="31">
        <v>2.1</v>
      </c>
      <c r="M52" s="31">
        <v>1.9</v>
      </c>
      <c r="N52" s="34">
        <v>20.6</v>
      </c>
      <c r="O52" s="31">
        <v>64</v>
      </c>
      <c r="P52" s="31">
        <v>1950</v>
      </c>
      <c r="Q52" s="31">
        <v>2018</v>
      </c>
    </row>
    <row r="53" spans="1:17" x14ac:dyDescent="0.35">
      <c r="A53" s="31" t="s">
        <v>339</v>
      </c>
      <c r="B53" s="31">
        <v>0.3</v>
      </c>
      <c r="C53" s="31">
        <v>0.5</v>
      </c>
      <c r="D53" s="31">
        <v>0.2</v>
      </c>
      <c r="E53" s="31">
        <v>0.5</v>
      </c>
      <c r="F53" s="31">
        <v>0.2</v>
      </c>
      <c r="G53" s="31">
        <v>0.1</v>
      </c>
      <c r="H53" s="31">
        <v>0.2</v>
      </c>
      <c r="I53" s="31">
        <v>0.1</v>
      </c>
      <c r="J53" s="31">
        <v>0.2</v>
      </c>
      <c r="K53" s="31">
        <v>0.3</v>
      </c>
      <c r="L53" s="31">
        <v>0.3</v>
      </c>
      <c r="M53" s="31">
        <v>0.5</v>
      </c>
      <c r="N53" s="34">
        <v>3.4</v>
      </c>
      <c r="O53" s="31">
        <v>64</v>
      </c>
      <c r="P53" s="31">
        <v>1950</v>
      </c>
      <c r="Q53" s="31">
        <v>2018</v>
      </c>
    </row>
    <row r="54" spans="1:17" x14ac:dyDescent="0.35">
      <c r="A54" s="32" t="s">
        <v>340</v>
      </c>
      <c r="B54" s="32">
        <v>372</v>
      </c>
      <c r="C54" s="32">
        <v>345</v>
      </c>
      <c r="D54" s="32">
        <v>331</v>
      </c>
      <c r="E54" s="32">
        <v>284</v>
      </c>
      <c r="F54" s="32">
        <v>300</v>
      </c>
      <c r="G54" s="32">
        <v>297</v>
      </c>
      <c r="H54" s="32">
        <v>338</v>
      </c>
      <c r="I54" s="32">
        <v>369</v>
      </c>
      <c r="J54" s="32">
        <v>374</v>
      </c>
      <c r="K54" s="32">
        <v>351</v>
      </c>
      <c r="L54" s="32">
        <v>360</v>
      </c>
      <c r="M54" s="32">
        <v>364</v>
      </c>
      <c r="N54" s="35">
        <v>340</v>
      </c>
      <c r="O54" s="32">
        <v>15</v>
      </c>
      <c r="P54" s="32">
        <v>2002</v>
      </c>
      <c r="Q54" s="32">
        <v>2018</v>
      </c>
    </row>
    <row r="55" spans="1:17" x14ac:dyDescent="0.35">
      <c r="A55" s="32" t="s">
        <v>341</v>
      </c>
      <c r="B55" s="32">
        <v>102</v>
      </c>
      <c r="C55" s="32">
        <v>98</v>
      </c>
      <c r="D55" s="32">
        <v>100</v>
      </c>
      <c r="E55" s="32">
        <v>115</v>
      </c>
      <c r="F55" s="32">
        <v>106</v>
      </c>
      <c r="G55" s="32">
        <v>91</v>
      </c>
      <c r="H55" s="32">
        <v>108</v>
      </c>
      <c r="I55" s="32">
        <v>102</v>
      </c>
      <c r="J55" s="32">
        <v>104</v>
      </c>
      <c r="K55" s="32">
        <v>102</v>
      </c>
      <c r="L55" s="32">
        <v>108</v>
      </c>
      <c r="M55" s="32">
        <v>104</v>
      </c>
      <c r="N55" s="35">
        <v>115</v>
      </c>
      <c r="O55" s="32">
        <v>35</v>
      </c>
      <c r="P55" s="32">
        <v>1972</v>
      </c>
      <c r="Q55" s="32">
        <v>2018</v>
      </c>
    </row>
    <row r="56" spans="1:17" x14ac:dyDescent="0.35">
      <c r="A56" s="32" t="s">
        <v>342</v>
      </c>
      <c r="B56" s="42">
        <v>27032</v>
      </c>
      <c r="C56" s="42">
        <v>30363</v>
      </c>
      <c r="D56" s="42">
        <v>30767</v>
      </c>
      <c r="E56" s="42">
        <v>27149</v>
      </c>
      <c r="F56" s="42">
        <v>28265</v>
      </c>
      <c r="G56" s="42">
        <v>32300</v>
      </c>
      <c r="H56" s="42">
        <v>32717</v>
      </c>
      <c r="I56" s="42">
        <v>27973</v>
      </c>
      <c r="J56" s="42">
        <v>30197</v>
      </c>
      <c r="K56" s="42">
        <v>42652</v>
      </c>
      <c r="L56" s="42">
        <v>28077</v>
      </c>
      <c r="M56" s="42">
        <v>32867</v>
      </c>
      <c r="N56" s="43">
        <v>27149</v>
      </c>
      <c r="O56" s="32" t="s">
        <v>109</v>
      </c>
      <c r="P56" s="32">
        <v>1972</v>
      </c>
      <c r="Q56" s="32">
        <v>2018</v>
      </c>
    </row>
    <row r="57" spans="1:17" x14ac:dyDescent="0.35">
      <c r="A57" s="29" t="s">
        <v>293</v>
      </c>
      <c r="B57" s="29" t="s">
        <v>108</v>
      </c>
      <c r="C57" s="29" t="s">
        <v>108</v>
      </c>
      <c r="D57" s="29" t="s">
        <v>108</v>
      </c>
      <c r="E57" s="29" t="s">
        <v>108</v>
      </c>
      <c r="F57" s="29" t="s">
        <v>108</v>
      </c>
      <c r="G57" s="29" t="s">
        <v>108</v>
      </c>
      <c r="H57" s="29" t="s">
        <v>108</v>
      </c>
      <c r="I57" s="29" t="s">
        <v>108</v>
      </c>
      <c r="J57" s="29" t="s">
        <v>108</v>
      </c>
      <c r="K57" s="29" t="s">
        <v>108</v>
      </c>
      <c r="L57" s="29" t="s">
        <v>108</v>
      </c>
      <c r="M57" s="29" t="s">
        <v>108</v>
      </c>
      <c r="N57" s="36" t="s">
        <v>108</v>
      </c>
      <c r="O57" s="29"/>
      <c r="P57" s="29" t="s">
        <v>108</v>
      </c>
      <c r="Q57" s="29" t="s">
        <v>108</v>
      </c>
    </row>
    <row r="58" spans="1:17" x14ac:dyDescent="0.35">
      <c r="A58" s="29" t="s">
        <v>267</v>
      </c>
      <c r="B58" s="29">
        <v>24.6</v>
      </c>
      <c r="C58" s="29">
        <v>21.4</v>
      </c>
      <c r="D58" s="29">
        <v>16.600000000000001</v>
      </c>
      <c r="E58" s="29">
        <v>11.3</v>
      </c>
      <c r="F58" s="29">
        <v>7.5</v>
      </c>
      <c r="G58" s="29">
        <v>6.1</v>
      </c>
      <c r="H58" s="29">
        <v>6.9</v>
      </c>
      <c r="I58" s="29">
        <v>9.8000000000000007</v>
      </c>
      <c r="J58" s="29">
        <v>13.6</v>
      </c>
      <c r="K58" s="29">
        <v>18.2</v>
      </c>
      <c r="L58" s="29">
        <v>21.8</v>
      </c>
      <c r="M58" s="29">
        <v>24.4</v>
      </c>
      <c r="N58" s="36">
        <v>15.2</v>
      </c>
      <c r="O58" s="29">
        <v>28</v>
      </c>
      <c r="P58" s="29">
        <v>1990</v>
      </c>
      <c r="Q58" s="29">
        <v>2018</v>
      </c>
    </row>
    <row r="59" spans="1:17" x14ac:dyDescent="0.35">
      <c r="A59" s="29" t="s">
        <v>343</v>
      </c>
      <c r="B59" s="29">
        <v>1.3</v>
      </c>
      <c r="C59" s="29">
        <v>1.8</v>
      </c>
      <c r="D59" s="29">
        <v>1.7</v>
      </c>
      <c r="E59" s="29">
        <v>0.8</v>
      </c>
      <c r="F59" s="29">
        <v>1</v>
      </c>
      <c r="G59" s="29">
        <v>0.8</v>
      </c>
      <c r="H59" s="29">
        <v>0.9</v>
      </c>
      <c r="I59" s="29">
        <v>0.6</v>
      </c>
      <c r="J59" s="29">
        <v>0.9</v>
      </c>
      <c r="K59" s="29">
        <v>1</v>
      </c>
      <c r="L59" s="29">
        <v>0.9</v>
      </c>
      <c r="M59" s="29">
        <v>1.2</v>
      </c>
      <c r="N59" s="36">
        <v>12.9</v>
      </c>
      <c r="O59" s="29">
        <v>24</v>
      </c>
      <c r="P59" s="29">
        <v>1971</v>
      </c>
      <c r="Q59" s="29">
        <v>2010</v>
      </c>
    </row>
    <row r="60" spans="1:17" x14ac:dyDescent="0.35">
      <c r="A60" t="s">
        <v>344</v>
      </c>
      <c r="B60">
        <v>2.5</v>
      </c>
      <c r="C60">
        <v>2.8</v>
      </c>
      <c r="D60">
        <v>3.3</v>
      </c>
      <c r="E60">
        <v>4.3</v>
      </c>
      <c r="F60">
        <v>5</v>
      </c>
      <c r="G60">
        <v>5</v>
      </c>
      <c r="H60">
        <v>4.4000000000000004</v>
      </c>
      <c r="I60">
        <v>4.7</v>
      </c>
      <c r="J60">
        <v>4.3</v>
      </c>
      <c r="K60">
        <v>3.5</v>
      </c>
      <c r="L60">
        <v>3.7</v>
      </c>
      <c r="M60">
        <v>3.8</v>
      </c>
      <c r="N60" s="37">
        <v>47.3</v>
      </c>
      <c r="O60">
        <v>24</v>
      </c>
      <c r="P60">
        <v>1971</v>
      </c>
      <c r="Q60">
        <v>2010</v>
      </c>
    </row>
    <row r="61" spans="1:17" x14ac:dyDescent="0.35">
      <c r="A61" t="s">
        <v>294</v>
      </c>
      <c r="B61" t="s">
        <v>108</v>
      </c>
      <c r="C61" t="s">
        <v>108</v>
      </c>
      <c r="D61" t="s">
        <v>108</v>
      </c>
      <c r="E61" t="s">
        <v>108</v>
      </c>
      <c r="F61" t="s">
        <v>108</v>
      </c>
      <c r="G61" t="s">
        <v>108</v>
      </c>
      <c r="H61" t="s">
        <v>108</v>
      </c>
      <c r="I61" t="s">
        <v>108</v>
      </c>
      <c r="J61" t="s">
        <v>108</v>
      </c>
      <c r="K61" t="s">
        <v>108</v>
      </c>
      <c r="L61" t="s">
        <v>108</v>
      </c>
      <c r="M61" t="s">
        <v>108</v>
      </c>
      <c r="N61" s="37" t="s">
        <v>108</v>
      </c>
      <c r="P61" t="s">
        <v>108</v>
      </c>
      <c r="Q61" t="s">
        <v>108</v>
      </c>
    </row>
    <row r="62" spans="1:17" x14ac:dyDescent="0.35">
      <c r="A62" t="s">
        <v>345</v>
      </c>
      <c r="B62">
        <v>18.5</v>
      </c>
      <c r="C62">
        <v>18.5</v>
      </c>
      <c r="D62">
        <v>17.2</v>
      </c>
      <c r="E62">
        <v>14.8</v>
      </c>
      <c r="F62">
        <v>12</v>
      </c>
      <c r="G62">
        <v>9.4</v>
      </c>
      <c r="H62">
        <v>8.9</v>
      </c>
      <c r="I62">
        <v>10.199999999999999</v>
      </c>
      <c r="J62">
        <v>12.3</v>
      </c>
      <c r="K62">
        <v>14.4</v>
      </c>
      <c r="L62">
        <v>15.7</v>
      </c>
      <c r="M62">
        <v>17.2</v>
      </c>
      <c r="N62" s="37">
        <v>14.1</v>
      </c>
      <c r="O62">
        <v>39</v>
      </c>
      <c r="P62">
        <v>1971</v>
      </c>
      <c r="Q62">
        <v>2010</v>
      </c>
    </row>
    <row r="63" spans="1:17" x14ac:dyDescent="0.35">
      <c r="A63" t="s">
        <v>346</v>
      </c>
      <c r="B63">
        <v>15.1</v>
      </c>
      <c r="C63">
        <v>15.3</v>
      </c>
      <c r="D63">
        <v>14.4</v>
      </c>
      <c r="E63">
        <v>12.5</v>
      </c>
      <c r="F63">
        <v>10.6</v>
      </c>
      <c r="G63">
        <v>8.3000000000000007</v>
      </c>
      <c r="H63">
        <v>7.5</v>
      </c>
      <c r="I63">
        <v>8.4</v>
      </c>
      <c r="J63">
        <v>9.8000000000000007</v>
      </c>
      <c r="K63">
        <v>11.3</v>
      </c>
      <c r="L63">
        <v>12.7</v>
      </c>
      <c r="M63">
        <v>13.8</v>
      </c>
      <c r="N63" s="37">
        <v>11.6</v>
      </c>
      <c r="O63">
        <v>35</v>
      </c>
      <c r="P63">
        <v>1971</v>
      </c>
      <c r="Q63">
        <v>2010</v>
      </c>
    </row>
    <row r="64" spans="1:17" x14ac:dyDescent="0.35">
      <c r="A64" t="s">
        <v>347</v>
      </c>
      <c r="B64">
        <v>12.1</v>
      </c>
      <c r="C64">
        <v>12.8</v>
      </c>
      <c r="D64">
        <v>11.9</v>
      </c>
      <c r="E64">
        <v>10.199999999999999</v>
      </c>
      <c r="F64">
        <v>8.9</v>
      </c>
      <c r="G64">
        <v>7</v>
      </c>
      <c r="H64">
        <v>6.1</v>
      </c>
      <c r="I64">
        <v>6.3</v>
      </c>
      <c r="J64">
        <v>7.2</v>
      </c>
      <c r="K64">
        <v>8.3000000000000007</v>
      </c>
      <c r="L64">
        <v>9.8000000000000007</v>
      </c>
      <c r="M64">
        <v>10.8</v>
      </c>
      <c r="N64" s="37">
        <v>9.3000000000000007</v>
      </c>
      <c r="O64">
        <v>39</v>
      </c>
      <c r="P64">
        <v>1971</v>
      </c>
      <c r="Q64">
        <v>2010</v>
      </c>
    </row>
    <row r="65" spans="1:17" x14ac:dyDescent="0.35">
      <c r="A65" t="s">
        <v>348</v>
      </c>
      <c r="B65">
        <v>68</v>
      </c>
      <c r="C65">
        <v>72</v>
      </c>
      <c r="D65">
        <v>73</v>
      </c>
      <c r="E65">
        <v>76</v>
      </c>
      <c r="F65">
        <v>83</v>
      </c>
      <c r="G65">
        <v>85</v>
      </c>
      <c r="H65">
        <v>83</v>
      </c>
      <c r="I65">
        <v>78</v>
      </c>
      <c r="J65">
        <v>73</v>
      </c>
      <c r="K65">
        <v>69</v>
      </c>
      <c r="L65">
        <v>70</v>
      </c>
      <c r="M65">
        <v>68</v>
      </c>
      <c r="N65" s="37">
        <v>75</v>
      </c>
      <c r="O65">
        <v>39</v>
      </c>
      <c r="P65">
        <v>1971</v>
      </c>
      <c r="Q65">
        <v>2010</v>
      </c>
    </row>
    <row r="66" spans="1:17" x14ac:dyDescent="0.35">
      <c r="A66" t="s">
        <v>349</v>
      </c>
      <c r="B66">
        <v>5.3</v>
      </c>
      <c r="C66">
        <v>4.8</v>
      </c>
      <c r="D66">
        <v>5.3</v>
      </c>
      <c r="E66">
        <v>5.4</v>
      </c>
      <c r="F66">
        <v>5.7</v>
      </c>
      <c r="G66">
        <v>5.6</v>
      </c>
      <c r="H66">
        <v>5.6</v>
      </c>
      <c r="I66">
        <v>5.7</v>
      </c>
      <c r="J66">
        <v>5.5</v>
      </c>
      <c r="K66">
        <v>5.3</v>
      </c>
      <c r="L66">
        <v>5.6</v>
      </c>
      <c r="M66">
        <v>5.4</v>
      </c>
      <c r="N66" s="37">
        <v>5.4</v>
      </c>
      <c r="O66">
        <v>25</v>
      </c>
      <c r="P66">
        <v>1971</v>
      </c>
      <c r="Q66">
        <v>2010</v>
      </c>
    </row>
    <row r="67" spans="1:17" x14ac:dyDescent="0.35">
      <c r="A67" t="s">
        <v>350</v>
      </c>
      <c r="B67">
        <v>15.2</v>
      </c>
      <c r="C67">
        <v>12.7</v>
      </c>
      <c r="D67">
        <v>13.6</v>
      </c>
      <c r="E67">
        <v>13.3</v>
      </c>
      <c r="F67">
        <v>13</v>
      </c>
      <c r="G67">
        <v>13.6</v>
      </c>
      <c r="H67">
        <v>15.6</v>
      </c>
      <c r="I67">
        <v>17.8</v>
      </c>
      <c r="J67">
        <v>18.8</v>
      </c>
      <c r="K67">
        <v>18.600000000000001</v>
      </c>
      <c r="L67">
        <v>15.9</v>
      </c>
      <c r="M67">
        <v>16.100000000000001</v>
      </c>
      <c r="N67" s="37">
        <v>15.4</v>
      </c>
      <c r="O67">
        <v>38</v>
      </c>
      <c r="P67">
        <v>1971</v>
      </c>
      <c r="Q67">
        <v>2010</v>
      </c>
    </row>
    <row r="68" spans="1:17" x14ac:dyDescent="0.35">
      <c r="A68" t="s">
        <v>351</v>
      </c>
      <c r="B68">
        <v>23.2</v>
      </c>
      <c r="C68">
        <v>24.4</v>
      </c>
      <c r="D68">
        <v>22.2</v>
      </c>
      <c r="E68">
        <v>18.899999999999999</v>
      </c>
      <c r="F68">
        <v>15.9</v>
      </c>
      <c r="G68">
        <v>13.1</v>
      </c>
      <c r="H68">
        <v>12.5</v>
      </c>
      <c r="I68">
        <v>13.7</v>
      </c>
      <c r="J68">
        <v>15.3</v>
      </c>
      <c r="K68">
        <v>17.399999999999999</v>
      </c>
      <c r="L68">
        <v>19.399999999999999</v>
      </c>
      <c r="M68">
        <v>21.8</v>
      </c>
      <c r="N68" s="37">
        <v>18.2</v>
      </c>
      <c r="O68">
        <v>39</v>
      </c>
      <c r="P68">
        <v>1971</v>
      </c>
      <c r="Q68">
        <v>2010</v>
      </c>
    </row>
    <row r="69" spans="1:17" x14ac:dyDescent="0.35">
      <c r="A69" t="s">
        <v>352</v>
      </c>
      <c r="B69">
        <v>17</v>
      </c>
      <c r="C69">
        <v>17.600000000000001</v>
      </c>
      <c r="D69">
        <v>16.399999999999999</v>
      </c>
      <c r="E69">
        <v>14.3</v>
      </c>
      <c r="F69">
        <v>12.5</v>
      </c>
      <c r="G69">
        <v>10.4</v>
      </c>
      <c r="H69">
        <v>9.6</v>
      </c>
      <c r="I69">
        <v>10.199999999999999</v>
      </c>
      <c r="J69">
        <v>11.4</v>
      </c>
      <c r="K69">
        <v>12.7</v>
      </c>
      <c r="L69">
        <v>14.3</v>
      </c>
      <c r="M69">
        <v>15.8</v>
      </c>
      <c r="N69" s="37">
        <v>13.5</v>
      </c>
      <c r="O69">
        <v>35</v>
      </c>
      <c r="P69">
        <v>1971</v>
      </c>
      <c r="Q69">
        <v>2010</v>
      </c>
    </row>
    <row r="70" spans="1:17" x14ac:dyDescent="0.35">
      <c r="A70" t="s">
        <v>353</v>
      </c>
      <c r="B70">
        <v>12.2</v>
      </c>
      <c r="C70">
        <v>12.4</v>
      </c>
      <c r="D70">
        <v>11.5</v>
      </c>
      <c r="E70">
        <v>10.1</v>
      </c>
      <c r="F70">
        <v>9.1</v>
      </c>
      <c r="G70">
        <v>7.5</v>
      </c>
      <c r="H70">
        <v>6.4</v>
      </c>
      <c r="I70">
        <v>6.2</v>
      </c>
      <c r="J70">
        <v>7.4</v>
      </c>
      <c r="K70">
        <v>8.3000000000000007</v>
      </c>
      <c r="L70">
        <v>9.8000000000000007</v>
      </c>
      <c r="M70">
        <v>11</v>
      </c>
      <c r="N70" s="37">
        <v>9.3000000000000007</v>
      </c>
      <c r="O70">
        <v>39</v>
      </c>
      <c r="P70">
        <v>1971</v>
      </c>
      <c r="Q70">
        <v>2010</v>
      </c>
    </row>
    <row r="71" spans="1:17" x14ac:dyDescent="0.35">
      <c r="A71" t="s">
        <v>354</v>
      </c>
      <c r="B71">
        <v>53</v>
      </c>
      <c r="C71">
        <v>51</v>
      </c>
      <c r="D71">
        <v>54</v>
      </c>
      <c r="E71">
        <v>59</v>
      </c>
      <c r="F71">
        <v>65</v>
      </c>
      <c r="G71">
        <v>70</v>
      </c>
      <c r="H71">
        <v>67</v>
      </c>
      <c r="I71">
        <v>62</v>
      </c>
      <c r="J71">
        <v>61</v>
      </c>
      <c r="K71">
        <v>58</v>
      </c>
      <c r="L71">
        <v>57</v>
      </c>
      <c r="M71">
        <v>54</v>
      </c>
      <c r="N71" s="37">
        <v>59</v>
      </c>
      <c r="O71">
        <v>39</v>
      </c>
      <c r="P71">
        <v>1971</v>
      </c>
      <c r="Q71">
        <v>2010</v>
      </c>
    </row>
    <row r="72" spans="1:17" x14ac:dyDescent="0.35">
      <c r="A72" t="s">
        <v>355</v>
      </c>
      <c r="B72">
        <v>3.6</v>
      </c>
      <c r="C72">
        <v>4</v>
      </c>
      <c r="D72">
        <v>4.7</v>
      </c>
      <c r="E72">
        <v>5.2</v>
      </c>
      <c r="F72">
        <v>5.5</v>
      </c>
      <c r="G72">
        <v>5.7</v>
      </c>
      <c r="H72">
        <v>5</v>
      </c>
      <c r="I72">
        <v>5.4</v>
      </c>
      <c r="J72">
        <v>5.5</v>
      </c>
      <c r="K72">
        <v>5.0999999999999996</v>
      </c>
      <c r="L72">
        <v>4.7</v>
      </c>
      <c r="M72">
        <v>5</v>
      </c>
      <c r="N72" s="37">
        <v>5</v>
      </c>
      <c r="O72">
        <v>24</v>
      </c>
      <c r="P72">
        <v>1971</v>
      </c>
      <c r="Q72">
        <v>2010</v>
      </c>
    </row>
    <row r="73" spans="1:17" x14ac:dyDescent="0.35">
      <c r="A73" t="s">
        <v>356</v>
      </c>
      <c r="B73">
        <v>23.3</v>
      </c>
      <c r="C73">
        <v>22</v>
      </c>
      <c r="D73">
        <v>21.2</v>
      </c>
      <c r="E73">
        <v>19.5</v>
      </c>
      <c r="F73">
        <v>18.2</v>
      </c>
      <c r="G73">
        <v>18.899999999999999</v>
      </c>
      <c r="H73">
        <v>20.5</v>
      </c>
      <c r="I73">
        <v>22</v>
      </c>
      <c r="J73">
        <v>22.7</v>
      </c>
      <c r="K73">
        <v>23</v>
      </c>
      <c r="L73">
        <v>22.6</v>
      </c>
      <c r="M73">
        <v>23.1</v>
      </c>
      <c r="N73" s="37">
        <v>21.4</v>
      </c>
      <c r="O73">
        <v>23</v>
      </c>
      <c r="P73">
        <v>1971</v>
      </c>
      <c r="Q73">
        <v>2010</v>
      </c>
    </row>
  </sheetData>
  <hyperlinks>
    <hyperlink ref="A1" r:id="rId1" xr:uid="{00000000-0004-0000-0400-000000000000}"/>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P226"/>
  <sheetViews>
    <sheetView workbookViewId="0">
      <pane ySplit="2" topLeftCell="A219" activePane="bottomLeft" state="frozen"/>
      <selection pane="bottomLeft" activeCell="A218" sqref="A218"/>
    </sheetView>
  </sheetViews>
  <sheetFormatPr defaultColWidth="9.08984375" defaultRowHeight="14.5" outlineLevelRow="1" x14ac:dyDescent="0.35"/>
  <cols>
    <col min="1" max="1" width="56.54296875" style="25" customWidth="1"/>
    <col min="2" max="14" width="9.08984375" style="25"/>
    <col min="15" max="15" width="15.453125" style="25" bestFit="1" customWidth="1"/>
    <col min="16" max="16" width="52.54296875" style="25" bestFit="1" customWidth="1"/>
    <col min="17" max="16384" width="9.08984375" style="25"/>
  </cols>
  <sheetData>
    <row r="1" spans="1:16" ht="19" thickBot="1" x14ac:dyDescent="0.5">
      <c r="A1" s="46" t="str">
        <f>'BOM csv data'!A5</f>
        <v>Monthly Climate Statistics for 'MOORABBIN AIRPORT' [086077]</v>
      </c>
    </row>
    <row r="2" spans="1:16" ht="16" thickBot="1" x14ac:dyDescent="0.4">
      <c r="A2" s="26" t="s">
        <v>57</v>
      </c>
      <c r="B2" s="27" t="s">
        <v>13</v>
      </c>
      <c r="C2" s="27" t="s">
        <v>14</v>
      </c>
      <c r="D2" s="27" t="s">
        <v>15</v>
      </c>
      <c r="E2" s="27" t="s">
        <v>4</v>
      </c>
      <c r="F2" s="27" t="s">
        <v>5</v>
      </c>
      <c r="G2" s="27" t="s">
        <v>6</v>
      </c>
      <c r="H2" s="27" t="s">
        <v>7</v>
      </c>
      <c r="I2" s="27" t="s">
        <v>8</v>
      </c>
      <c r="J2" s="27" t="s">
        <v>9</v>
      </c>
      <c r="K2" s="27" t="s">
        <v>10</v>
      </c>
      <c r="L2" s="27" t="s">
        <v>11</v>
      </c>
      <c r="M2" s="27" t="s">
        <v>12</v>
      </c>
      <c r="N2" s="27" t="s">
        <v>58</v>
      </c>
      <c r="P2" s="247" t="s">
        <v>178</v>
      </c>
    </row>
    <row r="3" spans="1:16" ht="15.5" thickTop="1" thickBot="1" x14ac:dyDescent="0.4">
      <c r="A3" s="477" t="s">
        <v>36</v>
      </c>
      <c r="B3" s="478"/>
      <c r="C3" s="478"/>
      <c r="D3" s="478"/>
      <c r="E3" s="478"/>
      <c r="F3" s="478"/>
      <c r="G3" s="478"/>
      <c r="H3" s="478"/>
      <c r="I3" s="478"/>
      <c r="J3" s="478"/>
      <c r="K3" s="478"/>
      <c r="L3" s="478"/>
      <c r="M3" s="478"/>
      <c r="N3" s="478"/>
      <c r="P3" s="466" t="s">
        <v>257</v>
      </c>
    </row>
    <row r="4" spans="1:16" ht="15" outlineLevel="1" thickBot="1" x14ac:dyDescent="0.4">
      <c r="A4" s="25" t="s">
        <v>37</v>
      </c>
      <c r="B4" s="28">
        <f>'BOM csv data'!B17</f>
        <v>25.8</v>
      </c>
      <c r="C4" s="28">
        <f>'BOM csv data'!C17</f>
        <v>26.1</v>
      </c>
      <c r="D4" s="28">
        <f>'BOM csv data'!D17</f>
        <v>23.8</v>
      </c>
      <c r="E4" s="28">
        <f>'BOM csv data'!E17</f>
        <v>20.2</v>
      </c>
      <c r="F4" s="28">
        <f>'BOM csv data'!F17</f>
        <v>17</v>
      </c>
      <c r="G4" s="28">
        <f>'BOM csv data'!G17</f>
        <v>14.2</v>
      </c>
      <c r="H4" s="28">
        <f>'BOM csv data'!H17</f>
        <v>13.7</v>
      </c>
      <c r="I4" s="28">
        <f>'BOM csv data'!I17</f>
        <v>14.9</v>
      </c>
      <c r="J4" s="28">
        <f>'BOM csv data'!J17</f>
        <v>16.899999999999999</v>
      </c>
      <c r="K4" s="28">
        <f>'BOM csv data'!K17</f>
        <v>19.3</v>
      </c>
      <c r="L4" s="28">
        <f>'BOM csv data'!L17</f>
        <v>21.7</v>
      </c>
      <c r="M4" s="28">
        <f>'BOM csv data'!M17</f>
        <v>24</v>
      </c>
      <c r="N4" s="28">
        <f>'BOM csv data'!N17</f>
        <v>19.8</v>
      </c>
      <c r="P4" s="467"/>
    </row>
    <row r="5" spans="1:16" ht="15.5" outlineLevel="1" thickTop="1" thickBot="1" x14ac:dyDescent="0.4">
      <c r="A5" s="25" t="s">
        <v>38</v>
      </c>
      <c r="B5" s="28">
        <f>'BOM csv data'!B18</f>
        <v>44.9</v>
      </c>
      <c r="C5" s="28">
        <f>'BOM csv data'!C18</f>
        <v>46.7</v>
      </c>
      <c r="D5" s="28">
        <f>'BOM csv data'!D18</f>
        <v>40.799999999999997</v>
      </c>
      <c r="E5" s="28">
        <f>'BOM csv data'!E18</f>
        <v>34.9</v>
      </c>
      <c r="F5" s="28">
        <f>'BOM csv data'!F18</f>
        <v>26.6</v>
      </c>
      <c r="G5" s="28">
        <f>'BOM csv data'!G18</f>
        <v>23.7</v>
      </c>
      <c r="H5" s="28">
        <f>'BOM csv data'!H18</f>
        <v>23.1</v>
      </c>
      <c r="I5" s="28">
        <f>'BOM csv data'!I18</f>
        <v>25.6</v>
      </c>
      <c r="J5" s="28">
        <f>'BOM csv data'!J18</f>
        <v>31.8</v>
      </c>
      <c r="K5" s="28">
        <f>'BOM csv data'!K18</f>
        <v>36.200000000000003</v>
      </c>
      <c r="L5" s="28">
        <f>'BOM csv data'!L18</f>
        <v>39.5</v>
      </c>
      <c r="M5" s="28">
        <f>'BOM csv data'!M18</f>
        <v>43</v>
      </c>
      <c r="N5" s="28">
        <f>'BOM csv data'!N18</f>
        <v>46.7</v>
      </c>
    </row>
    <row r="6" spans="1:16" ht="15" outlineLevel="1" thickBot="1" x14ac:dyDescent="0.4">
      <c r="A6" s="25" t="s">
        <v>39</v>
      </c>
      <c r="B6" s="28">
        <f>'BOM csv data'!B20</f>
        <v>15</v>
      </c>
      <c r="C6" s="28">
        <f>'BOM csv data'!C20</f>
        <v>14.5</v>
      </c>
      <c r="D6" s="28">
        <f>'BOM csv data'!D20</f>
        <v>14.5</v>
      </c>
      <c r="E6" s="28">
        <f>'BOM csv data'!E20</f>
        <v>12.2</v>
      </c>
      <c r="F6" s="28">
        <f>'BOM csv data'!F20</f>
        <v>8.4</v>
      </c>
      <c r="G6" s="28">
        <f>'BOM csv data'!G20</f>
        <v>8.1999999999999993</v>
      </c>
      <c r="H6" s="28">
        <f>'BOM csv data'!H20</f>
        <v>6.6</v>
      </c>
      <c r="I6" s="28">
        <f>'BOM csv data'!I20</f>
        <v>8.8000000000000007</v>
      </c>
      <c r="J6" s="28">
        <f>'BOM csv data'!J20</f>
        <v>9.4</v>
      </c>
      <c r="K6" s="28">
        <f>'BOM csv data'!K20</f>
        <v>11.4</v>
      </c>
      <c r="L6" s="28">
        <f>'BOM csv data'!L20</f>
        <v>12.5</v>
      </c>
      <c r="M6" s="28">
        <f>'BOM csv data'!M20</f>
        <v>14.2</v>
      </c>
      <c r="N6" s="28">
        <f>'BOM csv data'!N20</f>
        <v>6.6</v>
      </c>
    </row>
    <row r="7" spans="1:16" ht="15" outlineLevel="1" thickBot="1" x14ac:dyDescent="0.4">
      <c r="A7" s="25" t="s">
        <v>40</v>
      </c>
      <c r="B7" s="28">
        <f>'BOM csv data'!B22</f>
        <v>19.600000000000001</v>
      </c>
      <c r="C7" s="28">
        <f>'BOM csv data'!C22</f>
        <v>19.899999999999999</v>
      </c>
      <c r="D7" s="28">
        <f>'BOM csv data'!D22</f>
        <v>18.399999999999999</v>
      </c>
      <c r="E7" s="28">
        <f>'BOM csv data'!E22</f>
        <v>15.9</v>
      </c>
      <c r="F7" s="28">
        <f>'BOM csv data'!F22</f>
        <v>13.9</v>
      </c>
      <c r="G7" s="28">
        <f>'BOM csv data'!G22</f>
        <v>11.8</v>
      </c>
      <c r="H7" s="28">
        <f>'BOM csv data'!H22</f>
        <v>11.2</v>
      </c>
      <c r="I7" s="28">
        <f>'BOM csv data'!I22</f>
        <v>12</v>
      </c>
      <c r="J7" s="28">
        <f>'BOM csv data'!J22</f>
        <v>13.3</v>
      </c>
      <c r="K7" s="28">
        <f>'BOM csv data'!K22</f>
        <v>14.6</v>
      </c>
      <c r="L7" s="28">
        <f>'BOM csv data'!L22</f>
        <v>16.2</v>
      </c>
      <c r="M7" s="28">
        <f>'BOM csv data'!M22</f>
        <v>18</v>
      </c>
      <c r="N7" s="28" t="str">
        <f>'BOM csv data'!N22</f>
        <v xml:space="preserve"> </v>
      </c>
    </row>
    <row r="8" spans="1:16" ht="15" outlineLevel="1" thickBot="1" x14ac:dyDescent="0.4">
      <c r="A8" s="25" t="s">
        <v>41</v>
      </c>
      <c r="B8" s="28">
        <f>'BOM csv data'!B23</f>
        <v>35.299999999999997</v>
      </c>
      <c r="C8" s="28">
        <f>'BOM csv data'!C23</f>
        <v>34.299999999999997</v>
      </c>
      <c r="D8" s="28">
        <f>'BOM csv data'!D23</f>
        <v>31.5</v>
      </c>
      <c r="E8" s="28">
        <f>'BOM csv data'!E23</f>
        <v>25.8</v>
      </c>
      <c r="F8" s="28">
        <f>'BOM csv data'!F23</f>
        <v>21.2</v>
      </c>
      <c r="G8" s="28">
        <f>'BOM csv data'!G23</f>
        <v>16.899999999999999</v>
      </c>
      <c r="H8" s="28">
        <f>'BOM csv data'!H23</f>
        <v>16.3</v>
      </c>
      <c r="I8" s="28">
        <f>'BOM csv data'!I23</f>
        <v>18.5</v>
      </c>
      <c r="J8" s="28">
        <f>'BOM csv data'!J23</f>
        <v>22</v>
      </c>
      <c r="K8" s="28">
        <f>'BOM csv data'!K23</f>
        <v>26</v>
      </c>
      <c r="L8" s="28">
        <f>'BOM csv data'!L23</f>
        <v>29.8</v>
      </c>
      <c r="M8" s="28">
        <f>'BOM csv data'!M23</f>
        <v>32.6</v>
      </c>
      <c r="N8" s="28" t="str">
        <f>'BOM csv data'!N23</f>
        <v xml:space="preserve"> </v>
      </c>
    </row>
    <row r="9" spans="1:16" ht="15" outlineLevel="1" thickBot="1" x14ac:dyDescent="0.4">
      <c r="A9" s="25" t="s">
        <v>42</v>
      </c>
      <c r="B9" s="28">
        <f>'BOM csv data'!B24</f>
        <v>7</v>
      </c>
      <c r="C9" s="28">
        <f>'BOM csv data'!C24</f>
        <v>7.1</v>
      </c>
      <c r="D9" s="28">
        <f>'BOM csv data'!D24</f>
        <v>4.3</v>
      </c>
      <c r="E9" s="28">
        <f>'BOM csv data'!E24</f>
        <v>0.3</v>
      </c>
      <c r="F9" s="28">
        <f>'BOM csv data'!F24</f>
        <v>0</v>
      </c>
      <c r="G9" s="28">
        <f>'BOM csv data'!G24</f>
        <v>0</v>
      </c>
      <c r="H9" s="28">
        <f>'BOM csv data'!H24</f>
        <v>0</v>
      </c>
      <c r="I9" s="28">
        <f>'BOM csv data'!I24</f>
        <v>0</v>
      </c>
      <c r="J9" s="28">
        <f>'BOM csv data'!J24</f>
        <v>0</v>
      </c>
      <c r="K9" s="28">
        <f>'BOM csv data'!K24</f>
        <v>0.8</v>
      </c>
      <c r="L9" s="28">
        <f>'BOM csv data'!L24</f>
        <v>2.9</v>
      </c>
      <c r="M9" s="28">
        <f>'BOM csv data'!M24</f>
        <v>5.0999999999999996</v>
      </c>
      <c r="N9" s="28">
        <f>'BOM csv data'!N24</f>
        <v>27.5</v>
      </c>
    </row>
    <row r="10" spans="1:16" ht="15" outlineLevel="1" thickBot="1" x14ac:dyDescent="0.4">
      <c r="A10" s="59" t="s">
        <v>405</v>
      </c>
      <c r="B10" s="64">
        <f>+B11+2.5*(B9-B11)/5</f>
        <v>5.15</v>
      </c>
      <c r="C10" s="64">
        <f t="shared" ref="C10:M10" si="0">+C11+2.5*(C9-C11)/5</f>
        <v>4.5999999999999996</v>
      </c>
      <c r="D10" s="64">
        <f t="shared" si="0"/>
        <v>2.5499999999999998</v>
      </c>
      <c r="E10" s="64">
        <f t="shared" si="0"/>
        <v>0.15</v>
      </c>
      <c r="F10" s="64">
        <f t="shared" si="0"/>
        <v>0</v>
      </c>
      <c r="G10" s="64">
        <f t="shared" si="0"/>
        <v>0</v>
      </c>
      <c r="H10" s="64">
        <f t="shared" si="0"/>
        <v>0</v>
      </c>
      <c r="I10" s="64">
        <f t="shared" si="0"/>
        <v>0</v>
      </c>
      <c r="J10" s="64">
        <f t="shared" si="0"/>
        <v>0</v>
      </c>
      <c r="K10" s="64">
        <f t="shared" si="0"/>
        <v>0.4</v>
      </c>
      <c r="L10" s="64">
        <f t="shared" si="0"/>
        <v>1.75</v>
      </c>
      <c r="M10" s="64">
        <f t="shared" si="0"/>
        <v>3.5</v>
      </c>
      <c r="N10" s="64">
        <f>SUM(B10:M10)</f>
        <v>18.100000000000001</v>
      </c>
      <c r="O10" s="25" t="s">
        <v>121</v>
      </c>
    </row>
    <row r="11" spans="1:16" ht="15" outlineLevel="1" thickBot="1" x14ac:dyDescent="0.4">
      <c r="A11" s="25" t="s">
        <v>43</v>
      </c>
      <c r="B11" s="28">
        <f>'BOM csv data'!B25</f>
        <v>3.3</v>
      </c>
      <c r="C11" s="28">
        <f>'BOM csv data'!C25</f>
        <v>2.1</v>
      </c>
      <c r="D11" s="28">
        <f>'BOM csv data'!D25</f>
        <v>0.8</v>
      </c>
      <c r="E11" s="28">
        <f>'BOM csv data'!E25</f>
        <v>0</v>
      </c>
      <c r="F11" s="28">
        <f>'BOM csv data'!F25</f>
        <v>0</v>
      </c>
      <c r="G11" s="28">
        <f>'BOM csv data'!G25</f>
        <v>0</v>
      </c>
      <c r="H11" s="28">
        <f>'BOM csv data'!H25</f>
        <v>0</v>
      </c>
      <c r="I11" s="28">
        <f>'BOM csv data'!I25</f>
        <v>0</v>
      </c>
      <c r="J11" s="28">
        <f>'BOM csv data'!J25</f>
        <v>0</v>
      </c>
      <c r="K11" s="28">
        <f>'BOM csv data'!K25</f>
        <v>0</v>
      </c>
      <c r="L11" s="28">
        <f>'BOM csv data'!L25</f>
        <v>0.6</v>
      </c>
      <c r="M11" s="28">
        <f>'BOM csv data'!M25</f>
        <v>1.9</v>
      </c>
      <c r="N11" s="28">
        <f>'BOM csv data'!N25</f>
        <v>8.6999999999999993</v>
      </c>
    </row>
    <row r="12" spans="1:16" ht="15" outlineLevel="1" thickBot="1" x14ac:dyDescent="0.4">
      <c r="A12" s="59" t="s">
        <v>124</v>
      </c>
      <c r="B12" s="64">
        <f>+B13+2.5*(B11-B13)/5</f>
        <v>1.9999999999999998</v>
      </c>
      <c r="C12" s="64">
        <f t="shared" ref="C12:M12" si="1">+C13+2.5*(C11-C13)/5</f>
        <v>1.1499999999999999</v>
      </c>
      <c r="D12" s="64">
        <f t="shared" si="1"/>
        <v>0.45000000000000007</v>
      </c>
      <c r="E12" s="64">
        <f t="shared" si="1"/>
        <v>0</v>
      </c>
      <c r="F12" s="64">
        <f t="shared" si="1"/>
        <v>0</v>
      </c>
      <c r="G12" s="64">
        <f t="shared" si="1"/>
        <v>0</v>
      </c>
      <c r="H12" s="64">
        <f t="shared" si="1"/>
        <v>0</v>
      </c>
      <c r="I12" s="64">
        <f t="shared" si="1"/>
        <v>0</v>
      </c>
      <c r="J12" s="64">
        <f t="shared" si="1"/>
        <v>0</v>
      </c>
      <c r="K12" s="64">
        <f t="shared" si="1"/>
        <v>0</v>
      </c>
      <c r="L12" s="64">
        <f t="shared" si="1"/>
        <v>0.3</v>
      </c>
      <c r="M12" s="64">
        <f t="shared" si="1"/>
        <v>1.05</v>
      </c>
      <c r="N12" s="64">
        <f>SUM(B12:M12)</f>
        <v>4.9499999999999993</v>
      </c>
      <c r="O12" s="25" t="s">
        <v>121</v>
      </c>
    </row>
    <row r="13" spans="1:16" ht="15" outlineLevel="1" thickBot="1" x14ac:dyDescent="0.4">
      <c r="A13" s="25" t="s">
        <v>44</v>
      </c>
      <c r="B13" s="28">
        <f>'BOM csv data'!B26</f>
        <v>0.7</v>
      </c>
      <c r="C13" s="28">
        <f>'BOM csv data'!C26</f>
        <v>0.2</v>
      </c>
      <c r="D13" s="28">
        <f>'BOM csv data'!D26</f>
        <v>0.1</v>
      </c>
      <c r="E13" s="28">
        <f>'BOM csv data'!E26</f>
        <v>0</v>
      </c>
      <c r="F13" s="28">
        <f>'BOM csv data'!F26</f>
        <v>0</v>
      </c>
      <c r="G13" s="28">
        <f>'BOM csv data'!G26</f>
        <v>0</v>
      </c>
      <c r="H13" s="28">
        <f>'BOM csv data'!H26</f>
        <v>0</v>
      </c>
      <c r="I13" s="28">
        <f>'BOM csv data'!I26</f>
        <v>0</v>
      </c>
      <c r="J13" s="28">
        <f>'BOM csv data'!J26</f>
        <v>0</v>
      </c>
      <c r="K13" s="28">
        <f>'BOM csv data'!K26</f>
        <v>0</v>
      </c>
      <c r="L13" s="28">
        <f>'BOM csv data'!L26</f>
        <v>0</v>
      </c>
      <c r="M13" s="28">
        <f>'BOM csv data'!M26</f>
        <v>0.2</v>
      </c>
      <c r="N13" s="28">
        <f>'BOM csv data'!N26</f>
        <v>1.2</v>
      </c>
    </row>
    <row r="14" spans="1:16" ht="15.5" thickTop="1" thickBot="1" x14ac:dyDescent="0.4">
      <c r="A14" s="477" t="s">
        <v>45</v>
      </c>
      <c r="B14" s="478"/>
      <c r="C14" s="478"/>
      <c r="D14" s="478"/>
      <c r="E14" s="478"/>
      <c r="F14" s="478"/>
      <c r="G14" s="478"/>
      <c r="H14" s="478"/>
      <c r="I14" s="478"/>
      <c r="J14" s="478"/>
      <c r="K14" s="478"/>
      <c r="L14" s="478"/>
      <c r="M14" s="478"/>
      <c r="N14" s="478"/>
      <c r="P14" s="468" t="s">
        <v>258</v>
      </c>
    </row>
    <row r="15" spans="1:16" ht="15" outlineLevel="1" thickBot="1" x14ac:dyDescent="0.4">
      <c r="A15" s="25" t="s">
        <v>46</v>
      </c>
      <c r="B15" s="28">
        <f>'BOM csv data'!B27</f>
        <v>14.3</v>
      </c>
      <c r="C15" s="28">
        <f>'BOM csv data'!C27</f>
        <v>14.4</v>
      </c>
      <c r="D15" s="28">
        <f>'BOM csv data'!D27</f>
        <v>13</v>
      </c>
      <c r="E15" s="28">
        <f>'BOM csv data'!E27</f>
        <v>10.5</v>
      </c>
      <c r="F15" s="28">
        <f>'BOM csv data'!F27</f>
        <v>8.6999999999999993</v>
      </c>
      <c r="G15" s="28">
        <f>'BOM csv data'!G27</f>
        <v>6.7</v>
      </c>
      <c r="H15" s="28">
        <f>'BOM csv data'!H27</f>
        <v>6.2</v>
      </c>
      <c r="I15" s="28">
        <f>'BOM csv data'!I27</f>
        <v>6.9</v>
      </c>
      <c r="J15" s="28">
        <f>'BOM csv data'!J27</f>
        <v>8.1</v>
      </c>
      <c r="K15" s="28">
        <f>'BOM csv data'!K27</f>
        <v>9.3000000000000007</v>
      </c>
      <c r="L15" s="28">
        <f>'BOM csv data'!L27</f>
        <v>11.1</v>
      </c>
      <c r="M15" s="28">
        <f>'BOM csv data'!M27</f>
        <v>12.7</v>
      </c>
      <c r="N15" s="28">
        <f>'BOM csv data'!N27</f>
        <v>10.199999999999999</v>
      </c>
      <c r="P15" s="469"/>
    </row>
    <row r="16" spans="1:16" ht="15.5" outlineLevel="1" thickTop="1" thickBot="1" x14ac:dyDescent="0.4">
      <c r="A16" s="25" t="s">
        <v>47</v>
      </c>
      <c r="B16" s="28">
        <f>'BOM csv data'!B28</f>
        <v>6</v>
      </c>
      <c r="C16" s="28">
        <f>'BOM csv data'!C28</f>
        <v>5.2</v>
      </c>
      <c r="D16" s="28">
        <f>'BOM csv data'!D28</f>
        <v>2.9</v>
      </c>
      <c r="E16" s="28">
        <f>'BOM csv data'!E28</f>
        <v>1</v>
      </c>
      <c r="F16" s="28">
        <f>'BOM csv data'!F28</f>
        <v>0</v>
      </c>
      <c r="G16" s="28">
        <f>'BOM csv data'!G28</f>
        <v>-2.2000000000000002</v>
      </c>
      <c r="H16" s="28">
        <f>'BOM csv data'!H28</f>
        <v>-3.8</v>
      </c>
      <c r="I16" s="28">
        <f>'BOM csv data'!I28</f>
        <v>-2.8</v>
      </c>
      <c r="J16" s="28">
        <f>'BOM csv data'!J28</f>
        <v>-1.8</v>
      </c>
      <c r="K16" s="28">
        <f>'BOM csv data'!K28</f>
        <v>0.6</v>
      </c>
      <c r="L16" s="28">
        <f>'BOM csv data'!L28</f>
        <v>2.2000000000000002</v>
      </c>
      <c r="M16" s="28">
        <f>'BOM csv data'!M28</f>
        <v>1.3</v>
      </c>
      <c r="N16" s="28">
        <f>'BOM csv data'!N28</f>
        <v>-3.8</v>
      </c>
    </row>
    <row r="17" spans="1:16" ht="15" outlineLevel="1" thickBot="1" x14ac:dyDescent="0.4">
      <c r="A17" s="25" t="s">
        <v>48</v>
      </c>
      <c r="B17" s="28">
        <f>'BOM csv data'!B30</f>
        <v>28.7</v>
      </c>
      <c r="C17" s="28">
        <f>'BOM csv data'!C30</f>
        <v>25.3</v>
      </c>
      <c r="D17" s="28">
        <f>'BOM csv data'!D30</f>
        <v>24</v>
      </c>
      <c r="E17" s="28">
        <f>'BOM csv data'!E30</f>
        <v>22.6</v>
      </c>
      <c r="F17" s="28">
        <f>'BOM csv data'!F30</f>
        <v>18.399999999999999</v>
      </c>
      <c r="G17" s="28">
        <f>'BOM csv data'!G30</f>
        <v>15.7</v>
      </c>
      <c r="H17" s="28">
        <f>'BOM csv data'!H30</f>
        <v>14.6</v>
      </c>
      <c r="I17" s="28">
        <f>'BOM csv data'!I30</f>
        <v>16.8</v>
      </c>
      <c r="J17" s="28">
        <f>'BOM csv data'!J30</f>
        <v>20.100000000000001</v>
      </c>
      <c r="K17" s="28">
        <f>'BOM csv data'!K30</f>
        <v>23.1</v>
      </c>
      <c r="L17" s="28">
        <f>'BOM csv data'!L30</f>
        <v>24.2</v>
      </c>
      <c r="M17" s="28">
        <f>'BOM csv data'!M30</f>
        <v>28.5</v>
      </c>
      <c r="N17" s="28">
        <f>'BOM csv data'!N30</f>
        <v>28.7</v>
      </c>
    </row>
    <row r="18" spans="1:16" ht="15" outlineLevel="1" thickBot="1" x14ac:dyDescent="0.4">
      <c r="A18" s="25" t="s">
        <v>49</v>
      </c>
      <c r="B18" s="28">
        <f>'BOM csv data'!B32</f>
        <v>10.199999999999999</v>
      </c>
      <c r="C18" s="28">
        <f>'BOM csv data'!C32</f>
        <v>10.3</v>
      </c>
      <c r="D18" s="28">
        <f>'BOM csv data'!D32</f>
        <v>8.8000000000000007</v>
      </c>
      <c r="E18" s="28">
        <f>'BOM csv data'!E32</f>
        <v>6</v>
      </c>
      <c r="F18" s="28">
        <f>'BOM csv data'!F32</f>
        <v>4.3</v>
      </c>
      <c r="G18" s="28">
        <f>'BOM csv data'!G32</f>
        <v>2.2999999999999998</v>
      </c>
      <c r="H18" s="28">
        <f>'BOM csv data'!H32</f>
        <v>1.9</v>
      </c>
      <c r="I18" s="28">
        <f>'BOM csv data'!I32</f>
        <v>3</v>
      </c>
      <c r="J18" s="28">
        <f>'BOM csv data'!J32</f>
        <v>3.9</v>
      </c>
      <c r="K18" s="28">
        <f>'BOM csv data'!K32</f>
        <v>5.0999999999999996</v>
      </c>
      <c r="L18" s="28">
        <f>'BOM csv data'!L32</f>
        <v>7.1</v>
      </c>
      <c r="M18" s="28">
        <f>'BOM csv data'!M32</f>
        <v>9</v>
      </c>
      <c r="N18" s="28" t="str">
        <f>'BOM csv data'!N32</f>
        <v xml:space="preserve"> </v>
      </c>
    </row>
    <row r="19" spans="1:16" ht="15" outlineLevel="1" thickBot="1" x14ac:dyDescent="0.4">
      <c r="A19" s="25" t="s">
        <v>50</v>
      </c>
      <c r="B19" s="28">
        <f>'BOM csv data'!B33</f>
        <v>18.5</v>
      </c>
      <c r="C19" s="28">
        <f>'BOM csv data'!C33</f>
        <v>18.5</v>
      </c>
      <c r="D19" s="28">
        <f>'BOM csv data'!D33</f>
        <v>17.3</v>
      </c>
      <c r="E19" s="28">
        <f>'BOM csv data'!E33</f>
        <v>14.6</v>
      </c>
      <c r="F19" s="28">
        <f>'BOM csv data'!F33</f>
        <v>12.7</v>
      </c>
      <c r="G19" s="28">
        <f>'BOM csv data'!G33</f>
        <v>10.6</v>
      </c>
      <c r="H19" s="28">
        <f>'BOM csv data'!H33</f>
        <v>9.6999999999999993</v>
      </c>
      <c r="I19" s="28">
        <f>'BOM csv data'!I33</f>
        <v>10.199999999999999</v>
      </c>
      <c r="J19" s="28">
        <f>'BOM csv data'!J33</f>
        <v>11.7</v>
      </c>
      <c r="K19" s="28">
        <f>'BOM csv data'!K33</f>
        <v>13.4</v>
      </c>
      <c r="L19" s="28">
        <f>'BOM csv data'!L33</f>
        <v>15.2</v>
      </c>
      <c r="M19" s="28">
        <f>'BOM csv data'!M33</f>
        <v>16.600000000000001</v>
      </c>
      <c r="N19" s="28" t="str">
        <f>'BOM csv data'!N33</f>
        <v xml:space="preserve"> </v>
      </c>
    </row>
    <row r="20" spans="1:16" ht="15" outlineLevel="1" thickBot="1" x14ac:dyDescent="0.4">
      <c r="A20" s="25" t="s">
        <v>51</v>
      </c>
      <c r="B20" s="28">
        <f>'BOM csv data'!B34</f>
        <v>0</v>
      </c>
      <c r="C20" s="28">
        <f>'BOM csv data'!C34</f>
        <v>0</v>
      </c>
      <c r="D20" s="28">
        <f>'BOM csv data'!D34</f>
        <v>0</v>
      </c>
      <c r="E20" s="28">
        <f>'BOM csv data'!E34</f>
        <v>0.2</v>
      </c>
      <c r="F20" s="28">
        <f>'BOM csv data'!F34</f>
        <v>0.7</v>
      </c>
      <c r="G20" s="28">
        <f>'BOM csv data'!G34</f>
        <v>2.6</v>
      </c>
      <c r="H20" s="28">
        <f>'BOM csv data'!H34</f>
        <v>3.3</v>
      </c>
      <c r="I20" s="28">
        <f>'BOM csv data'!I34</f>
        <v>1.7</v>
      </c>
      <c r="J20" s="28">
        <f>'BOM csv data'!J34</f>
        <v>0.7</v>
      </c>
      <c r="K20" s="28">
        <f>'BOM csv data'!K34</f>
        <v>0.1</v>
      </c>
      <c r="L20" s="28">
        <f>'BOM csv data'!L34</f>
        <v>0</v>
      </c>
      <c r="M20" s="28">
        <f>'BOM csv data'!M34</f>
        <v>0</v>
      </c>
      <c r="N20" s="28">
        <f>'BOM csv data'!N34</f>
        <v>9.3000000000000007</v>
      </c>
    </row>
    <row r="21" spans="1:16" ht="15" outlineLevel="1" thickBot="1" x14ac:dyDescent="0.4">
      <c r="A21" s="25" t="s">
        <v>52</v>
      </c>
      <c r="B21" s="28">
        <f>'BOM csv data'!B35</f>
        <v>0</v>
      </c>
      <c r="C21" s="28">
        <f>'BOM csv data'!C35</f>
        <v>0</v>
      </c>
      <c r="D21" s="28">
        <f>'BOM csv data'!D35</f>
        <v>0</v>
      </c>
      <c r="E21" s="28">
        <f>'BOM csv data'!E35</f>
        <v>0</v>
      </c>
      <c r="F21" s="28">
        <f>'BOM csv data'!F35</f>
        <v>0</v>
      </c>
      <c r="G21" s="28">
        <f>'BOM csv data'!G35</f>
        <v>0.6</v>
      </c>
      <c r="H21" s="28">
        <f>'BOM csv data'!H35</f>
        <v>1.1000000000000001</v>
      </c>
      <c r="I21" s="28">
        <f>'BOM csv data'!I35</f>
        <v>0.3</v>
      </c>
      <c r="J21" s="28">
        <f>'BOM csv data'!J35</f>
        <v>0.1</v>
      </c>
      <c r="K21" s="28">
        <f>'BOM csv data'!K35</f>
        <v>0</v>
      </c>
      <c r="L21" s="28">
        <f>'BOM csv data'!L35</f>
        <v>0</v>
      </c>
      <c r="M21" s="28">
        <f>'BOM csv data'!M35</f>
        <v>0</v>
      </c>
      <c r="N21" s="28">
        <f>'BOM csv data'!N35</f>
        <v>2.1</v>
      </c>
    </row>
    <row r="22" spans="1:16" ht="15" thickBot="1" x14ac:dyDescent="0.4">
      <c r="A22" s="479" t="s">
        <v>53</v>
      </c>
      <c r="B22" s="480"/>
      <c r="C22" s="480"/>
      <c r="D22" s="480"/>
      <c r="E22" s="480"/>
      <c r="F22" s="480"/>
      <c r="G22" s="480"/>
      <c r="H22" s="480"/>
      <c r="I22" s="480"/>
      <c r="J22" s="480"/>
      <c r="K22" s="480"/>
      <c r="L22" s="480"/>
      <c r="M22" s="480"/>
      <c r="N22" s="480"/>
    </row>
    <row r="23" spans="1:16" ht="15" outlineLevel="1" thickBot="1" x14ac:dyDescent="0.4">
      <c r="A23" s="25" t="s">
        <v>54</v>
      </c>
      <c r="B23" s="28" t="str">
        <f>'BOM csv data'!B36</f>
        <v xml:space="preserve"> </v>
      </c>
      <c r="C23" s="28" t="str">
        <f>'BOM csv data'!C36</f>
        <v xml:space="preserve"> </v>
      </c>
      <c r="D23" s="28" t="str">
        <f>'BOM csv data'!D36</f>
        <v xml:space="preserve"> </v>
      </c>
      <c r="E23" s="28" t="str">
        <f>'BOM csv data'!E36</f>
        <v xml:space="preserve"> </v>
      </c>
      <c r="F23" s="28" t="str">
        <f>'BOM csv data'!F36</f>
        <v xml:space="preserve"> </v>
      </c>
      <c r="G23" s="28" t="str">
        <f>'BOM csv data'!G36</f>
        <v xml:space="preserve"> </v>
      </c>
      <c r="H23" s="28" t="str">
        <f>'BOM csv data'!H36</f>
        <v xml:space="preserve"> </v>
      </c>
      <c r="I23" s="28" t="str">
        <f>'BOM csv data'!I36</f>
        <v xml:space="preserve"> </v>
      </c>
      <c r="J23" s="28" t="str">
        <f>'BOM csv data'!J36</f>
        <v xml:space="preserve"> </v>
      </c>
      <c r="K23" s="28" t="str">
        <f>'BOM csv data'!K36</f>
        <v xml:space="preserve"> </v>
      </c>
      <c r="L23" s="28" t="str">
        <f>'BOM csv data'!L36</f>
        <v xml:space="preserve"> </v>
      </c>
      <c r="M23" s="28" t="str">
        <f>'BOM csv data'!M36</f>
        <v xml:space="preserve"> </v>
      </c>
      <c r="N23" s="28" t="str">
        <f>'BOM csv data'!N36</f>
        <v xml:space="preserve"> </v>
      </c>
    </row>
    <row r="24" spans="1:16" ht="15" outlineLevel="1" thickBot="1" x14ac:dyDescent="0.4">
      <c r="A24" s="25" t="s">
        <v>55</v>
      </c>
      <c r="B24" s="28" t="str">
        <f>'BOM csv data'!B37</f>
        <v xml:space="preserve"> </v>
      </c>
      <c r="C24" s="28" t="str">
        <f>'BOM csv data'!C37</f>
        <v xml:space="preserve"> </v>
      </c>
      <c r="D24" s="28" t="str">
        <f>'BOM csv data'!D37</f>
        <v xml:space="preserve"> </v>
      </c>
      <c r="E24" s="28" t="str">
        <f>'BOM csv data'!E37</f>
        <v xml:space="preserve"> </v>
      </c>
      <c r="F24" s="28" t="str">
        <f>'BOM csv data'!F37</f>
        <v xml:space="preserve"> </v>
      </c>
      <c r="G24" s="28" t="str">
        <f>'BOM csv data'!G37</f>
        <v xml:space="preserve"> </v>
      </c>
      <c r="H24" s="28" t="str">
        <f>'BOM csv data'!H37</f>
        <v xml:space="preserve"> </v>
      </c>
      <c r="I24" s="28" t="str">
        <f>'BOM csv data'!I37</f>
        <v xml:space="preserve"> </v>
      </c>
      <c r="J24" s="28" t="str">
        <f>'BOM csv data'!J37</f>
        <v xml:space="preserve"> </v>
      </c>
      <c r="K24" s="28" t="str">
        <f>'BOM csv data'!K37</f>
        <v xml:space="preserve"> </v>
      </c>
      <c r="L24" s="28" t="str">
        <f>'BOM csv data'!L37</f>
        <v xml:space="preserve"> </v>
      </c>
      <c r="M24" s="28" t="str">
        <f>'BOM csv data'!M37</f>
        <v xml:space="preserve"> </v>
      </c>
      <c r="N24" s="28" t="str">
        <f>'BOM csv data'!N37</f>
        <v xml:space="preserve"> </v>
      </c>
    </row>
    <row r="25" spans="1:16" ht="15" outlineLevel="1" thickBot="1" x14ac:dyDescent="0.4">
      <c r="A25" s="25" t="s">
        <v>56</v>
      </c>
      <c r="B25" s="28" t="str">
        <f>'BOM csv data'!B39</f>
        <v xml:space="preserve"> </v>
      </c>
      <c r="C25" s="28" t="str">
        <f>'BOM csv data'!C39</f>
        <v xml:space="preserve"> </v>
      </c>
      <c r="D25" s="28" t="str">
        <f>'BOM csv data'!D39</f>
        <v xml:space="preserve"> </v>
      </c>
      <c r="E25" s="28" t="str">
        <f>'BOM csv data'!E39</f>
        <v xml:space="preserve"> </v>
      </c>
      <c r="F25" s="28" t="str">
        <f>'BOM csv data'!F39</f>
        <v xml:space="preserve"> </v>
      </c>
      <c r="G25" s="28" t="str">
        <f>'BOM csv data'!G39</f>
        <v xml:space="preserve"> </v>
      </c>
      <c r="H25" s="28" t="str">
        <f>'BOM csv data'!H39</f>
        <v xml:space="preserve"> </v>
      </c>
      <c r="I25" s="28" t="str">
        <f>'BOM csv data'!I39</f>
        <v xml:space="preserve"> </v>
      </c>
      <c r="J25" s="28" t="str">
        <f>'BOM csv data'!J39</f>
        <v xml:space="preserve"> </v>
      </c>
      <c r="K25" s="28" t="str">
        <f>'BOM csv data'!K39</f>
        <v xml:space="preserve"> </v>
      </c>
      <c r="L25" s="28" t="str">
        <f>'BOM csv data'!L39</f>
        <v xml:space="preserve"> </v>
      </c>
      <c r="M25" s="28" t="str">
        <f>'BOM csv data'!M39</f>
        <v xml:space="preserve"> </v>
      </c>
      <c r="N25" s="28" t="str">
        <f>'BOM csv data'!N39</f>
        <v xml:space="preserve"> </v>
      </c>
    </row>
    <row r="26" spans="1:16" ht="16.5" customHeight="1" thickTop="1" thickBot="1" x14ac:dyDescent="0.4">
      <c r="A26" s="477" t="s">
        <v>59</v>
      </c>
      <c r="B26" s="478"/>
      <c r="C26" s="478"/>
      <c r="D26" s="478"/>
      <c r="E26" s="478"/>
      <c r="F26" s="478"/>
      <c r="G26" s="478"/>
      <c r="H26" s="478"/>
      <c r="I26" s="478"/>
      <c r="J26" s="478"/>
      <c r="K26" s="478"/>
      <c r="L26" s="478"/>
      <c r="M26" s="478"/>
      <c r="N26" s="478"/>
      <c r="P26" s="473" t="s">
        <v>259</v>
      </c>
    </row>
    <row r="27" spans="1:16" ht="15" outlineLevel="1" thickBot="1" x14ac:dyDescent="0.4">
      <c r="A27" s="25" t="s">
        <v>61</v>
      </c>
      <c r="B27" s="326">
        <f>'BOM csv data'!B41</f>
        <v>137</v>
      </c>
      <c r="C27" s="326">
        <f>'BOM csv data'!C41</f>
        <v>215.2</v>
      </c>
      <c r="D27" s="326">
        <f>'BOM csv data'!D41</f>
        <v>129.6</v>
      </c>
      <c r="E27" s="326">
        <f>'BOM csv data'!E41</f>
        <v>158.80000000000001</v>
      </c>
      <c r="F27" s="326">
        <f>'BOM csv data'!F41</f>
        <v>160.1</v>
      </c>
      <c r="G27" s="326">
        <f>'BOM csv data'!G41</f>
        <v>139.80000000000001</v>
      </c>
      <c r="H27" s="326">
        <f>'BOM csv data'!H41</f>
        <v>165</v>
      </c>
      <c r="I27" s="326">
        <f>'BOM csv data'!I41</f>
        <v>127.7</v>
      </c>
      <c r="J27" s="326">
        <f>'BOM csv data'!J41</f>
        <v>122.2</v>
      </c>
      <c r="K27" s="326">
        <f>'BOM csv data'!K41</f>
        <v>165.4</v>
      </c>
      <c r="L27" s="326">
        <f>'BOM csv data'!L41</f>
        <v>180.6</v>
      </c>
      <c r="M27" s="326">
        <f>'BOM csv data'!M41</f>
        <v>146.6</v>
      </c>
      <c r="N27" s="326">
        <f>'BOM csv data'!N41</f>
        <v>965.9</v>
      </c>
      <c r="P27" s="474"/>
    </row>
    <row r="28" spans="1:16" ht="15.5" outlineLevel="1" thickTop="1" thickBot="1" x14ac:dyDescent="0.4">
      <c r="A28" s="25" t="s">
        <v>65</v>
      </c>
      <c r="B28" s="326">
        <f>'BOM csv data'!B47</f>
        <v>91.7</v>
      </c>
      <c r="C28" s="326">
        <f>'BOM csv data'!C47</f>
        <v>89.5</v>
      </c>
      <c r="D28" s="326">
        <f>'BOM csv data'!D47</f>
        <v>74.400000000000006</v>
      </c>
      <c r="E28" s="326">
        <f>'BOM csv data'!E47</f>
        <v>107</v>
      </c>
      <c r="F28" s="326">
        <f>'BOM csv data'!F47</f>
        <v>108.6</v>
      </c>
      <c r="G28" s="326">
        <f>'BOM csv data'!G47</f>
        <v>85.1</v>
      </c>
      <c r="H28" s="326">
        <f>'BOM csv data'!H47</f>
        <v>94.9</v>
      </c>
      <c r="I28" s="326">
        <f>'BOM csv data'!I47</f>
        <v>95.4</v>
      </c>
      <c r="J28" s="326">
        <f>'BOM csv data'!J47</f>
        <v>99.3</v>
      </c>
      <c r="K28" s="326">
        <f>'BOM csv data'!K47</f>
        <v>108.4</v>
      </c>
      <c r="L28" s="326">
        <f>'BOM csv data'!L47</f>
        <v>110.6</v>
      </c>
      <c r="M28" s="326">
        <f>'BOM csv data'!M47</f>
        <v>105.4</v>
      </c>
      <c r="N28" s="326">
        <f>'BOM csv data'!N47</f>
        <v>884.9</v>
      </c>
    </row>
    <row r="29" spans="1:16" ht="15" outlineLevel="1" thickBot="1" x14ac:dyDescent="0.4">
      <c r="A29" s="327" t="s">
        <v>60</v>
      </c>
      <c r="B29" s="328">
        <f>'BOM csv data'!B40</f>
        <v>44.4</v>
      </c>
      <c r="C29" s="328">
        <f>'BOM csv data'!C40</f>
        <v>45</v>
      </c>
      <c r="D29" s="328">
        <f>'BOM csv data'!D40</f>
        <v>43.7</v>
      </c>
      <c r="E29" s="328">
        <f>'BOM csv data'!E40</f>
        <v>62.5</v>
      </c>
      <c r="F29" s="328">
        <f>'BOM csv data'!F40</f>
        <v>68.900000000000006</v>
      </c>
      <c r="G29" s="328">
        <f>'BOM csv data'!G40</f>
        <v>55.9</v>
      </c>
      <c r="H29" s="328">
        <f>'BOM csv data'!H40</f>
        <v>61.7</v>
      </c>
      <c r="I29" s="328">
        <f>'BOM csv data'!I40</f>
        <v>65.099999999999994</v>
      </c>
      <c r="J29" s="328">
        <f>'BOM csv data'!J40</f>
        <v>64.599999999999994</v>
      </c>
      <c r="K29" s="328">
        <f>'BOM csv data'!K40</f>
        <v>68.8</v>
      </c>
      <c r="L29" s="328">
        <f>'BOM csv data'!L40</f>
        <v>62.4</v>
      </c>
      <c r="M29" s="328">
        <f>'BOM csv data'!M40</f>
        <v>60.5</v>
      </c>
      <c r="N29" s="328">
        <f>'BOM csv data'!N40</f>
        <v>707.8</v>
      </c>
    </row>
    <row r="30" spans="1:16" ht="15" outlineLevel="1" thickBot="1" x14ac:dyDescent="0.4">
      <c r="A30" s="25" t="s">
        <v>64</v>
      </c>
      <c r="B30" s="326">
        <f>'BOM csv data'!B46</f>
        <v>38</v>
      </c>
      <c r="C30" s="326">
        <f>'BOM csv data'!C46</f>
        <v>33.6</v>
      </c>
      <c r="D30" s="326">
        <f>'BOM csv data'!D46</f>
        <v>39.799999999999997</v>
      </c>
      <c r="E30" s="326">
        <f>'BOM csv data'!E46</f>
        <v>62.5</v>
      </c>
      <c r="F30" s="326">
        <f>'BOM csv data'!F46</f>
        <v>65.400000000000006</v>
      </c>
      <c r="G30" s="326">
        <f>'BOM csv data'!G46</f>
        <v>55.8</v>
      </c>
      <c r="H30" s="326">
        <f>'BOM csv data'!H46</f>
        <v>60.6</v>
      </c>
      <c r="I30" s="326">
        <f>'BOM csv data'!I46</f>
        <v>64.8</v>
      </c>
      <c r="J30" s="326">
        <f>'BOM csv data'!J46</f>
        <v>59.6</v>
      </c>
      <c r="K30" s="326">
        <f>'BOM csv data'!K46</f>
        <v>66.099999999999994</v>
      </c>
      <c r="L30" s="326">
        <f>'BOM csv data'!L46</f>
        <v>54.6</v>
      </c>
      <c r="M30" s="326">
        <f>'BOM csv data'!M46</f>
        <v>57.6</v>
      </c>
      <c r="N30" s="326">
        <f>'BOM csv data'!N46</f>
        <v>708.9</v>
      </c>
    </row>
    <row r="31" spans="1:16" ht="15" outlineLevel="1" thickBot="1" x14ac:dyDescent="0.4">
      <c r="A31" s="25" t="s">
        <v>63</v>
      </c>
      <c r="B31" s="326">
        <f>'BOM csv data'!B45</f>
        <v>14.9</v>
      </c>
      <c r="C31" s="326">
        <f>'BOM csv data'!C45</f>
        <v>4.5</v>
      </c>
      <c r="D31" s="326">
        <f>'BOM csv data'!D45</f>
        <v>16.5</v>
      </c>
      <c r="E31" s="326">
        <f>'BOM csv data'!E45</f>
        <v>23.6</v>
      </c>
      <c r="F31" s="326">
        <f>'BOM csv data'!F45</f>
        <v>29.2</v>
      </c>
      <c r="G31" s="326">
        <f>'BOM csv data'!G45</f>
        <v>22.9</v>
      </c>
      <c r="H31" s="326">
        <f>'BOM csv data'!H45</f>
        <v>29.7</v>
      </c>
      <c r="I31" s="326">
        <f>'BOM csv data'!I45</f>
        <v>36.1</v>
      </c>
      <c r="J31" s="326">
        <f>'BOM csv data'!J45</f>
        <v>37.700000000000003</v>
      </c>
      <c r="K31" s="326">
        <f>'BOM csv data'!K45</f>
        <v>28.2</v>
      </c>
      <c r="L31" s="326">
        <f>'BOM csv data'!L45</f>
        <v>22.6</v>
      </c>
      <c r="M31" s="326">
        <f>'BOM csv data'!M45</f>
        <v>22.2</v>
      </c>
      <c r="N31" s="326">
        <f>'BOM csv data'!N45</f>
        <v>528.6</v>
      </c>
    </row>
    <row r="32" spans="1:16" ht="15" outlineLevel="1" thickBot="1" x14ac:dyDescent="0.4">
      <c r="A32" s="25" t="s">
        <v>62</v>
      </c>
      <c r="B32" s="326">
        <f>'BOM csv data'!B43</f>
        <v>1.2</v>
      </c>
      <c r="C32" s="326">
        <f>'BOM csv data'!C43</f>
        <v>0.3</v>
      </c>
      <c r="D32" s="326">
        <f>'BOM csv data'!D43</f>
        <v>5.4</v>
      </c>
      <c r="E32" s="326">
        <f>'BOM csv data'!E43</f>
        <v>8.1999999999999993</v>
      </c>
      <c r="F32" s="326">
        <f>'BOM csv data'!F43</f>
        <v>15.2</v>
      </c>
      <c r="G32" s="326">
        <f>'BOM csv data'!G43</f>
        <v>5.6</v>
      </c>
      <c r="H32" s="326">
        <f>'BOM csv data'!H43</f>
        <v>12.4</v>
      </c>
      <c r="I32" s="326">
        <f>'BOM csv data'!I43</f>
        <v>12</v>
      </c>
      <c r="J32" s="326">
        <f>'BOM csv data'!J43</f>
        <v>24.8</v>
      </c>
      <c r="K32" s="326">
        <f>'BOM csv data'!K43</f>
        <v>7.4</v>
      </c>
      <c r="L32" s="326">
        <f>'BOM csv data'!L43</f>
        <v>5.0999999999999996</v>
      </c>
      <c r="M32" s="326">
        <f>'BOM csv data'!M43</f>
        <v>2.9</v>
      </c>
      <c r="N32" s="326">
        <f>'BOM csv data'!N43</f>
        <v>443.8</v>
      </c>
    </row>
    <row r="33" spans="1:16" ht="15" customHeight="1" outlineLevel="1" thickBot="1" x14ac:dyDescent="0.4">
      <c r="A33" s="25" t="s">
        <v>66</v>
      </c>
      <c r="B33" s="326">
        <f>'BOM csv data'!B48</f>
        <v>91</v>
      </c>
      <c r="C33" s="326">
        <f>'BOM csv data'!C48</f>
        <v>140.80000000000001</v>
      </c>
      <c r="D33" s="326">
        <f>'BOM csv data'!D48</f>
        <v>45</v>
      </c>
      <c r="E33" s="326">
        <f>'BOM csv data'!E48</f>
        <v>64</v>
      </c>
      <c r="F33" s="326">
        <f>'BOM csv data'!F48</f>
        <v>53.2</v>
      </c>
      <c r="G33" s="326">
        <f>'BOM csv data'!G48</f>
        <v>51.3</v>
      </c>
      <c r="H33" s="326">
        <f>'BOM csv data'!H48</f>
        <v>61.5</v>
      </c>
      <c r="I33" s="326">
        <f>'BOM csv data'!I48</f>
        <v>42.8</v>
      </c>
      <c r="J33" s="326">
        <f>'BOM csv data'!J48</f>
        <v>53.3</v>
      </c>
      <c r="K33" s="326">
        <f>'BOM csv data'!K48</f>
        <v>72</v>
      </c>
      <c r="L33" s="326">
        <f>'BOM csv data'!L48</f>
        <v>61.4</v>
      </c>
      <c r="M33" s="326">
        <f>'BOM csv data'!M48</f>
        <v>85.6</v>
      </c>
      <c r="N33" s="326">
        <f>'BOM csv data'!N48</f>
        <v>140.80000000000001</v>
      </c>
    </row>
    <row r="34" spans="1:16" ht="15" customHeight="1" outlineLevel="1" thickBot="1" x14ac:dyDescent="0.4">
      <c r="A34" s="25" t="s">
        <v>67</v>
      </c>
      <c r="B34" s="28">
        <f>'BOM csv data'!B50</f>
        <v>7.9</v>
      </c>
      <c r="C34" s="28">
        <f>'BOM csv data'!C50</f>
        <v>6.9</v>
      </c>
      <c r="D34" s="28">
        <f>'BOM csv data'!D50</f>
        <v>9.1</v>
      </c>
      <c r="E34" s="28">
        <f>'BOM csv data'!E50</f>
        <v>11.6</v>
      </c>
      <c r="F34" s="28">
        <f>'BOM csv data'!F50</f>
        <v>14.8</v>
      </c>
      <c r="G34" s="28">
        <f>'BOM csv data'!G50</f>
        <v>14.8</v>
      </c>
      <c r="H34" s="28">
        <f>'BOM csv data'!H50</f>
        <v>17</v>
      </c>
      <c r="I34" s="28">
        <f>'BOM csv data'!I50</f>
        <v>17</v>
      </c>
      <c r="J34" s="28">
        <f>'BOM csv data'!J50</f>
        <v>14.6</v>
      </c>
      <c r="K34" s="28">
        <f>'BOM csv data'!K50</f>
        <v>13.9</v>
      </c>
      <c r="L34" s="28">
        <f>'BOM csv data'!L50</f>
        <v>12.2</v>
      </c>
      <c r="M34" s="28">
        <f>'BOM csv data'!M50</f>
        <v>10.1</v>
      </c>
      <c r="N34" s="28">
        <f>'BOM csv data'!N50</f>
        <v>149.9</v>
      </c>
    </row>
    <row r="35" spans="1:16" ht="15" customHeight="1" outlineLevel="1" thickBot="1" x14ac:dyDescent="0.4">
      <c r="A35" s="59" t="s">
        <v>120</v>
      </c>
      <c r="B35" s="60">
        <f>+B34-B37-B39-B40</f>
        <v>2.5000000000000009</v>
      </c>
      <c r="C35" s="60">
        <f t="shared" ref="C35:M35" si="2">+C34-C37-C39-C40</f>
        <v>2.4000000000000004</v>
      </c>
      <c r="D35" s="60">
        <f t="shared" si="2"/>
        <v>3.2999999999999989</v>
      </c>
      <c r="E35" s="60">
        <f t="shared" si="2"/>
        <v>3.5</v>
      </c>
      <c r="F35" s="60">
        <f t="shared" si="2"/>
        <v>4</v>
      </c>
      <c r="G35" s="60">
        <f t="shared" si="2"/>
        <v>5</v>
      </c>
      <c r="H35" s="60">
        <f t="shared" si="2"/>
        <v>5.6</v>
      </c>
      <c r="I35" s="60">
        <f t="shared" si="2"/>
        <v>4.9000000000000004</v>
      </c>
      <c r="J35" s="60">
        <f t="shared" si="2"/>
        <v>4.0999999999999996</v>
      </c>
      <c r="K35" s="60">
        <f t="shared" si="2"/>
        <v>4.0999999999999996</v>
      </c>
      <c r="L35" s="60">
        <f t="shared" si="2"/>
        <v>3.5999999999999996</v>
      </c>
      <c r="M35" s="60">
        <f t="shared" si="2"/>
        <v>2.899999999999999</v>
      </c>
      <c r="N35" s="64">
        <f>SUM(B35:M35)</f>
        <v>45.9</v>
      </c>
      <c r="O35" s="25" t="s">
        <v>121</v>
      </c>
      <c r="P35" s="210" t="s">
        <v>219</v>
      </c>
    </row>
    <row r="36" spans="1:16" ht="15" customHeight="1" outlineLevel="1" thickBot="1" x14ac:dyDescent="0.4">
      <c r="A36" s="25" t="s">
        <v>68</v>
      </c>
      <c r="B36" s="28">
        <f>'BOM csv data'!B51</f>
        <v>5.4</v>
      </c>
      <c r="C36" s="28">
        <f>'BOM csv data'!C51</f>
        <v>4.5</v>
      </c>
      <c r="D36" s="28">
        <f>'BOM csv data'!D51</f>
        <v>5.8</v>
      </c>
      <c r="E36" s="28">
        <f>'BOM csv data'!E51</f>
        <v>8.1</v>
      </c>
      <c r="F36" s="28">
        <f>'BOM csv data'!F51</f>
        <v>10.8</v>
      </c>
      <c r="G36" s="28">
        <f>'BOM csv data'!G51</f>
        <v>9.8000000000000007</v>
      </c>
      <c r="H36" s="28">
        <f>'BOM csv data'!H51</f>
        <v>11.4</v>
      </c>
      <c r="I36" s="28">
        <f>'BOM csv data'!I51</f>
        <v>12.1</v>
      </c>
      <c r="J36" s="28">
        <f>'BOM csv data'!J51</f>
        <v>10.5</v>
      </c>
      <c r="K36" s="28">
        <f>'BOM csv data'!K51</f>
        <v>9.8000000000000007</v>
      </c>
      <c r="L36" s="28">
        <f>'BOM csv data'!L51</f>
        <v>8.6</v>
      </c>
      <c r="M36" s="28">
        <f>'BOM csv data'!M51</f>
        <v>7.2</v>
      </c>
      <c r="N36" s="28">
        <f>'BOM csv data'!N51</f>
        <v>104</v>
      </c>
    </row>
    <row r="37" spans="1:16" ht="15" customHeight="1" outlineLevel="1" thickBot="1" x14ac:dyDescent="0.4">
      <c r="A37" s="59" t="s">
        <v>197</v>
      </c>
      <c r="B37" s="60">
        <f>+B36-B38</f>
        <v>4</v>
      </c>
      <c r="C37" s="60">
        <f t="shared" ref="C37:N37" si="3">+C36-C38</f>
        <v>3.1</v>
      </c>
      <c r="D37" s="60">
        <f t="shared" si="3"/>
        <v>4.4000000000000004</v>
      </c>
      <c r="E37" s="60">
        <f t="shared" si="3"/>
        <v>6.3</v>
      </c>
      <c r="F37" s="60">
        <f t="shared" si="3"/>
        <v>8.8000000000000007</v>
      </c>
      <c r="G37" s="60">
        <f t="shared" si="3"/>
        <v>8.3000000000000007</v>
      </c>
      <c r="H37" s="60">
        <f t="shared" si="3"/>
        <v>10</v>
      </c>
      <c r="I37" s="60">
        <f t="shared" si="3"/>
        <v>10.4</v>
      </c>
      <c r="J37" s="60">
        <f t="shared" si="3"/>
        <v>8.6</v>
      </c>
      <c r="K37" s="60">
        <f t="shared" si="3"/>
        <v>7.7000000000000011</v>
      </c>
      <c r="L37" s="60">
        <f t="shared" si="3"/>
        <v>6.5</v>
      </c>
      <c r="M37" s="60">
        <f t="shared" si="3"/>
        <v>5.3000000000000007</v>
      </c>
      <c r="N37" s="60">
        <f t="shared" si="3"/>
        <v>83.4</v>
      </c>
      <c r="O37" s="25" t="s">
        <v>121</v>
      </c>
      <c r="P37" s="210" t="s">
        <v>220</v>
      </c>
    </row>
    <row r="38" spans="1:16" ht="15" customHeight="1" outlineLevel="1" thickBot="1" x14ac:dyDescent="0.4">
      <c r="A38" s="25" t="s">
        <v>69</v>
      </c>
      <c r="B38" s="28">
        <f>'BOM csv data'!B52</f>
        <v>1.4</v>
      </c>
      <c r="C38" s="28">
        <f>'BOM csv data'!C52</f>
        <v>1.4</v>
      </c>
      <c r="D38" s="28">
        <f>'BOM csv data'!D52</f>
        <v>1.4</v>
      </c>
      <c r="E38" s="28">
        <f>'BOM csv data'!E52</f>
        <v>1.8</v>
      </c>
      <c r="F38" s="28">
        <f>'BOM csv data'!F52</f>
        <v>2</v>
      </c>
      <c r="G38" s="28">
        <f>'BOM csv data'!G52</f>
        <v>1.5</v>
      </c>
      <c r="H38" s="28">
        <f>'BOM csv data'!H52</f>
        <v>1.4</v>
      </c>
      <c r="I38" s="28">
        <f>'BOM csv data'!I52</f>
        <v>1.7</v>
      </c>
      <c r="J38" s="28">
        <f>'BOM csv data'!J52</f>
        <v>1.9</v>
      </c>
      <c r="K38" s="28">
        <f>'BOM csv data'!K52</f>
        <v>2.1</v>
      </c>
      <c r="L38" s="28">
        <f>'BOM csv data'!L52</f>
        <v>2.1</v>
      </c>
      <c r="M38" s="28">
        <f>'BOM csv data'!M52</f>
        <v>1.9</v>
      </c>
      <c r="N38" s="28">
        <f>'BOM csv data'!N52</f>
        <v>20.6</v>
      </c>
    </row>
    <row r="39" spans="1:16" ht="15" customHeight="1" outlineLevel="1" thickBot="1" x14ac:dyDescent="0.4">
      <c r="A39" s="59" t="s">
        <v>196</v>
      </c>
      <c r="B39" s="60">
        <f>+B38-B40</f>
        <v>1.0999999999999999</v>
      </c>
      <c r="C39" s="60">
        <f t="shared" ref="C39" si="4">+C38-C40</f>
        <v>0.89999999999999991</v>
      </c>
      <c r="D39" s="60">
        <f t="shared" ref="D39" si="5">+D38-D40</f>
        <v>1.2</v>
      </c>
      <c r="E39" s="60">
        <f t="shared" ref="E39" si="6">+E38-E40</f>
        <v>1.3</v>
      </c>
      <c r="F39" s="60">
        <f t="shared" ref="F39" si="7">+F38-F40</f>
        <v>1.8</v>
      </c>
      <c r="G39" s="60">
        <f t="shared" ref="G39" si="8">+G38-G40</f>
        <v>1.4</v>
      </c>
      <c r="H39" s="60">
        <f t="shared" ref="H39" si="9">+H38-H40</f>
        <v>1.2</v>
      </c>
      <c r="I39" s="60">
        <f t="shared" ref="I39" si="10">+I38-I40</f>
        <v>1.5999999999999999</v>
      </c>
      <c r="J39" s="60">
        <f t="shared" ref="J39" si="11">+J38-J40</f>
        <v>1.7</v>
      </c>
      <c r="K39" s="60">
        <f t="shared" ref="K39" si="12">+K38-K40</f>
        <v>1.8</v>
      </c>
      <c r="L39" s="60">
        <f t="shared" ref="L39" si="13">+L38-L40</f>
        <v>1.8</v>
      </c>
      <c r="M39" s="60">
        <f t="shared" ref="M39" si="14">+M38-M40</f>
        <v>1.4</v>
      </c>
      <c r="N39" s="60">
        <f t="shared" ref="N39" si="15">+N38-N40</f>
        <v>17.200000000000003</v>
      </c>
      <c r="O39" s="25" t="s">
        <v>121</v>
      </c>
      <c r="P39" s="210" t="s">
        <v>221</v>
      </c>
    </row>
    <row r="40" spans="1:16" ht="15" customHeight="1" outlineLevel="1" thickBot="1" x14ac:dyDescent="0.4">
      <c r="A40" s="25" t="s">
        <v>70</v>
      </c>
      <c r="B40" s="28">
        <f>'BOM csv data'!B53</f>
        <v>0.3</v>
      </c>
      <c r="C40" s="28">
        <f>'BOM csv data'!C53</f>
        <v>0.5</v>
      </c>
      <c r="D40" s="28">
        <f>'BOM csv data'!D53</f>
        <v>0.2</v>
      </c>
      <c r="E40" s="28">
        <f>'BOM csv data'!E53</f>
        <v>0.5</v>
      </c>
      <c r="F40" s="28">
        <f>'BOM csv data'!F53</f>
        <v>0.2</v>
      </c>
      <c r="G40" s="28">
        <f>'BOM csv data'!G53</f>
        <v>0.1</v>
      </c>
      <c r="H40" s="28">
        <f>'BOM csv data'!H53</f>
        <v>0.2</v>
      </c>
      <c r="I40" s="28">
        <f>'BOM csv data'!I53</f>
        <v>0.1</v>
      </c>
      <c r="J40" s="28">
        <f>'BOM csv data'!J53</f>
        <v>0.2</v>
      </c>
      <c r="K40" s="28">
        <f>'BOM csv data'!K53</f>
        <v>0.3</v>
      </c>
      <c r="L40" s="28">
        <f>'BOM csv data'!L53</f>
        <v>0.3</v>
      </c>
      <c r="M40" s="28">
        <f>'BOM csv data'!M53</f>
        <v>0.5</v>
      </c>
      <c r="N40" s="28">
        <f>'BOM csv data'!N53</f>
        <v>3.4</v>
      </c>
      <c r="P40" s="210" t="s">
        <v>222</v>
      </c>
    </row>
    <row r="41" spans="1:16" ht="15.75" customHeight="1" thickTop="1" thickBot="1" x14ac:dyDescent="0.4">
      <c r="A41" s="477" t="s">
        <v>122</v>
      </c>
      <c r="B41" s="478"/>
      <c r="C41" s="478"/>
      <c r="D41" s="478"/>
      <c r="E41" s="478"/>
      <c r="F41" s="478"/>
      <c r="G41" s="478"/>
      <c r="H41" s="478"/>
      <c r="I41" s="478"/>
      <c r="J41" s="478"/>
      <c r="K41" s="478"/>
      <c r="L41" s="478"/>
      <c r="M41" s="478"/>
      <c r="N41" s="478"/>
      <c r="P41" s="470" t="s">
        <v>260</v>
      </c>
    </row>
    <row r="42" spans="1:16" ht="15" customHeight="1" outlineLevel="1" thickBot="1" x14ac:dyDescent="0.4">
      <c r="A42" s="25" t="s">
        <v>71</v>
      </c>
      <c r="B42" s="28">
        <f>'BOM csv data'!B54</f>
        <v>372</v>
      </c>
      <c r="C42" s="28">
        <f>'BOM csv data'!C54</f>
        <v>345</v>
      </c>
      <c r="D42" s="28">
        <f>'BOM csv data'!D54</f>
        <v>331</v>
      </c>
      <c r="E42" s="28">
        <f>'BOM csv data'!E54</f>
        <v>284</v>
      </c>
      <c r="F42" s="28">
        <f>'BOM csv data'!F54</f>
        <v>300</v>
      </c>
      <c r="G42" s="28">
        <f>'BOM csv data'!G54</f>
        <v>297</v>
      </c>
      <c r="H42" s="28">
        <f>'BOM csv data'!H54</f>
        <v>338</v>
      </c>
      <c r="I42" s="28">
        <f>'BOM csv data'!I54</f>
        <v>369</v>
      </c>
      <c r="J42" s="28">
        <f>'BOM csv data'!J54</f>
        <v>374</v>
      </c>
      <c r="K42" s="28">
        <f>'BOM csv data'!K54</f>
        <v>351</v>
      </c>
      <c r="L42" s="28">
        <f>'BOM csv data'!L54</f>
        <v>360</v>
      </c>
      <c r="M42" s="28">
        <f>'BOM csv data'!M54</f>
        <v>364</v>
      </c>
      <c r="N42" s="28">
        <f>'BOM csv data'!N54</f>
        <v>340</v>
      </c>
      <c r="P42" s="469"/>
    </row>
    <row r="43" spans="1:16" ht="15" customHeight="1" outlineLevel="1" thickTop="1" thickBot="1" x14ac:dyDescent="0.4">
      <c r="A43" s="25" t="s">
        <v>72</v>
      </c>
      <c r="B43" s="28">
        <f>'BOM csv data'!B55</f>
        <v>102</v>
      </c>
      <c r="C43" s="28">
        <f>'BOM csv data'!C55</f>
        <v>98</v>
      </c>
      <c r="D43" s="28">
        <f>'BOM csv data'!D55</f>
        <v>100</v>
      </c>
      <c r="E43" s="28">
        <f>'BOM csv data'!E55</f>
        <v>115</v>
      </c>
      <c r="F43" s="28">
        <f>'BOM csv data'!F55</f>
        <v>106</v>
      </c>
      <c r="G43" s="28">
        <f>'BOM csv data'!G55</f>
        <v>91</v>
      </c>
      <c r="H43" s="28">
        <f>'BOM csv data'!H55</f>
        <v>108</v>
      </c>
      <c r="I43" s="28">
        <f>'BOM csv data'!I55</f>
        <v>102</v>
      </c>
      <c r="J43" s="28">
        <f>'BOM csv data'!J55</f>
        <v>104</v>
      </c>
      <c r="K43" s="28">
        <f>'BOM csv data'!K55</f>
        <v>102</v>
      </c>
      <c r="L43" s="28">
        <f>'BOM csv data'!L55</f>
        <v>108</v>
      </c>
      <c r="M43" s="28">
        <f>'BOM csv data'!M55</f>
        <v>104</v>
      </c>
      <c r="N43" s="28">
        <f>'BOM csv data'!N55</f>
        <v>115</v>
      </c>
    </row>
    <row r="44" spans="1:16" ht="15" customHeight="1" outlineLevel="1" thickBot="1" x14ac:dyDescent="0.4">
      <c r="A44" s="25" t="s">
        <v>73</v>
      </c>
      <c r="B44" s="28" t="str">
        <f>'BOM csv data'!B57</f>
        <v xml:space="preserve"> </v>
      </c>
      <c r="C44" s="28" t="str">
        <f>'BOM csv data'!C57</f>
        <v xml:space="preserve"> </v>
      </c>
      <c r="D44" s="28" t="str">
        <f>'BOM csv data'!D57</f>
        <v xml:space="preserve"> </v>
      </c>
      <c r="E44" s="28" t="str">
        <f>'BOM csv data'!E57</f>
        <v xml:space="preserve"> </v>
      </c>
      <c r="F44" s="28" t="str">
        <f>'BOM csv data'!F57</f>
        <v xml:space="preserve"> </v>
      </c>
      <c r="G44" s="28" t="str">
        <f>'BOM csv data'!G57</f>
        <v xml:space="preserve"> </v>
      </c>
      <c r="H44" s="28" t="str">
        <f>'BOM csv data'!H57</f>
        <v xml:space="preserve"> </v>
      </c>
      <c r="I44" s="28" t="str">
        <f>'BOM csv data'!I57</f>
        <v xml:space="preserve"> </v>
      </c>
      <c r="J44" s="28" t="str">
        <f>'BOM csv data'!J57</f>
        <v xml:space="preserve"> </v>
      </c>
      <c r="K44" s="28" t="str">
        <f>'BOM csv data'!K57</f>
        <v xml:space="preserve"> </v>
      </c>
      <c r="L44" s="28" t="str">
        <f>'BOM csv data'!L57</f>
        <v xml:space="preserve"> </v>
      </c>
      <c r="M44" s="28" t="str">
        <f>'BOM csv data'!M57</f>
        <v xml:space="preserve"> </v>
      </c>
      <c r="N44" s="28" t="str">
        <f>'BOM csv data'!N57</f>
        <v xml:space="preserve"> </v>
      </c>
    </row>
    <row r="45" spans="1:16" ht="15" customHeight="1" outlineLevel="1" thickBot="1" x14ac:dyDescent="0.4">
      <c r="A45" s="25" t="s">
        <v>74</v>
      </c>
      <c r="B45" s="28">
        <f>'BOM csv data'!B58</f>
        <v>24.6</v>
      </c>
      <c r="C45" s="28">
        <f>'BOM csv data'!C58</f>
        <v>21.4</v>
      </c>
      <c r="D45" s="28">
        <f>'BOM csv data'!D58</f>
        <v>16.600000000000001</v>
      </c>
      <c r="E45" s="28">
        <f>'BOM csv data'!E58</f>
        <v>11.3</v>
      </c>
      <c r="F45" s="28">
        <f>'BOM csv data'!F58</f>
        <v>7.5</v>
      </c>
      <c r="G45" s="28">
        <f>'BOM csv data'!G58</f>
        <v>6.1</v>
      </c>
      <c r="H45" s="28">
        <f>'BOM csv data'!H58</f>
        <v>6.9</v>
      </c>
      <c r="I45" s="28">
        <f>'BOM csv data'!I58</f>
        <v>9.8000000000000007</v>
      </c>
      <c r="J45" s="28">
        <f>'BOM csv data'!J58</f>
        <v>13.6</v>
      </c>
      <c r="K45" s="28">
        <f>'BOM csv data'!K58</f>
        <v>18.2</v>
      </c>
      <c r="L45" s="28">
        <f>'BOM csv data'!L58</f>
        <v>21.8</v>
      </c>
      <c r="M45" s="28">
        <f>'BOM csv data'!M58</f>
        <v>24.4</v>
      </c>
      <c r="N45" s="28">
        <f>'BOM csv data'!N58</f>
        <v>15.2</v>
      </c>
    </row>
    <row r="46" spans="1:16" ht="15" customHeight="1" outlineLevel="1" thickBot="1" x14ac:dyDescent="0.4">
      <c r="A46" s="25" t="s">
        <v>75</v>
      </c>
      <c r="B46" s="28">
        <f>'BOM csv data'!B59</f>
        <v>1.3</v>
      </c>
      <c r="C46" s="28">
        <f>'BOM csv data'!C59</f>
        <v>1.8</v>
      </c>
      <c r="D46" s="28">
        <f>'BOM csv data'!D59</f>
        <v>1.7</v>
      </c>
      <c r="E46" s="28">
        <f>'BOM csv data'!E59</f>
        <v>0.8</v>
      </c>
      <c r="F46" s="28">
        <f>'BOM csv data'!F59</f>
        <v>1</v>
      </c>
      <c r="G46" s="28">
        <f>'BOM csv data'!G59</f>
        <v>0.8</v>
      </c>
      <c r="H46" s="28">
        <f>'BOM csv data'!H59</f>
        <v>0.9</v>
      </c>
      <c r="I46" s="28">
        <f>'BOM csv data'!I59</f>
        <v>0.6</v>
      </c>
      <c r="J46" s="28">
        <f>'BOM csv data'!J59</f>
        <v>0.9</v>
      </c>
      <c r="K46" s="28">
        <f>'BOM csv data'!K59</f>
        <v>1</v>
      </c>
      <c r="L46" s="28">
        <f>'BOM csv data'!L59</f>
        <v>0.9</v>
      </c>
      <c r="M46" s="28">
        <f>'BOM csv data'!M59</f>
        <v>1.2</v>
      </c>
      <c r="N46" s="28">
        <f>'BOM csv data'!N59</f>
        <v>12.9</v>
      </c>
    </row>
    <row r="47" spans="1:16" ht="15" customHeight="1" outlineLevel="1" thickBot="1" x14ac:dyDescent="0.4">
      <c r="A47" s="25" t="s">
        <v>76</v>
      </c>
      <c r="B47" s="28">
        <f>'BOM csv data'!B60</f>
        <v>2.5</v>
      </c>
      <c r="C47" s="28">
        <f>'BOM csv data'!C60</f>
        <v>2.8</v>
      </c>
      <c r="D47" s="28">
        <f>'BOM csv data'!D60</f>
        <v>3.3</v>
      </c>
      <c r="E47" s="28">
        <f>'BOM csv data'!E60</f>
        <v>4.3</v>
      </c>
      <c r="F47" s="28">
        <f>'BOM csv data'!F60</f>
        <v>5</v>
      </c>
      <c r="G47" s="28">
        <f>'BOM csv data'!G60</f>
        <v>5</v>
      </c>
      <c r="H47" s="28">
        <f>'BOM csv data'!H60</f>
        <v>4.4000000000000004</v>
      </c>
      <c r="I47" s="28">
        <f>'BOM csv data'!I60</f>
        <v>4.7</v>
      </c>
      <c r="J47" s="28">
        <f>'BOM csv data'!J60</f>
        <v>4.3</v>
      </c>
      <c r="K47" s="28">
        <f>'BOM csv data'!K60</f>
        <v>3.5</v>
      </c>
      <c r="L47" s="28">
        <f>'BOM csv data'!L60</f>
        <v>3.7</v>
      </c>
      <c r="M47" s="28">
        <f>'BOM csv data'!M60</f>
        <v>3.8</v>
      </c>
      <c r="N47" s="28">
        <f>'BOM csv data'!N60</f>
        <v>47.3</v>
      </c>
    </row>
    <row r="48" spans="1:16" ht="15" customHeight="1" outlineLevel="1" thickBot="1" x14ac:dyDescent="0.4">
      <c r="A48" s="25" t="s">
        <v>77</v>
      </c>
      <c r="B48" s="28" t="str">
        <f>'BOM csv data'!B61</f>
        <v xml:space="preserve"> </v>
      </c>
      <c r="C48" s="28" t="str">
        <f>'BOM csv data'!C61</f>
        <v xml:space="preserve"> </v>
      </c>
      <c r="D48" s="28" t="str">
        <f>'BOM csv data'!D61</f>
        <v xml:space="preserve"> </v>
      </c>
      <c r="E48" s="28" t="str">
        <f>'BOM csv data'!E61</f>
        <v xml:space="preserve"> </v>
      </c>
      <c r="F48" s="28" t="str">
        <f>'BOM csv data'!F61</f>
        <v xml:space="preserve"> </v>
      </c>
      <c r="G48" s="28" t="str">
        <f>'BOM csv data'!G61</f>
        <v xml:space="preserve"> </v>
      </c>
      <c r="H48" s="28" t="str">
        <f>'BOM csv data'!H61</f>
        <v xml:space="preserve"> </v>
      </c>
      <c r="I48" s="28" t="str">
        <f>'BOM csv data'!I61</f>
        <v xml:space="preserve"> </v>
      </c>
      <c r="J48" s="28" t="str">
        <f>'BOM csv data'!J61</f>
        <v xml:space="preserve"> </v>
      </c>
      <c r="K48" s="28" t="str">
        <f>'BOM csv data'!K61</f>
        <v xml:space="preserve"> </v>
      </c>
      <c r="L48" s="28" t="str">
        <f>'BOM csv data'!L61</f>
        <v xml:space="preserve"> </v>
      </c>
      <c r="M48" s="28" t="str">
        <f>'BOM csv data'!M61</f>
        <v xml:space="preserve"> </v>
      </c>
      <c r="N48" s="28" t="str">
        <f>'BOM csv data'!N61</f>
        <v xml:space="preserve"> </v>
      </c>
    </row>
    <row r="49" spans="1:16" ht="16" thickBot="1" x14ac:dyDescent="0.4">
      <c r="A49" s="475" t="s">
        <v>78</v>
      </c>
      <c r="B49" s="476"/>
      <c r="C49" s="476"/>
      <c r="D49" s="476"/>
      <c r="E49" s="476"/>
      <c r="F49" s="476"/>
      <c r="G49" s="476"/>
      <c r="H49" s="476"/>
      <c r="I49" s="476"/>
      <c r="J49" s="476"/>
      <c r="K49" s="476"/>
      <c r="L49" s="476"/>
      <c r="M49" s="476"/>
      <c r="N49" s="476"/>
    </row>
    <row r="50" spans="1:16" ht="15" customHeight="1" outlineLevel="1" thickTop="1" thickBot="1" x14ac:dyDescent="0.4">
      <c r="A50" s="25" t="s">
        <v>79</v>
      </c>
      <c r="B50" s="28">
        <f>'BOM csv data'!B62</f>
        <v>18.5</v>
      </c>
      <c r="C50" s="28">
        <f>'BOM csv data'!C62</f>
        <v>18.5</v>
      </c>
      <c r="D50" s="28">
        <f>'BOM csv data'!D62</f>
        <v>17.2</v>
      </c>
      <c r="E50" s="28">
        <f>'BOM csv data'!E62</f>
        <v>14.8</v>
      </c>
      <c r="F50" s="28">
        <f>'BOM csv data'!F62</f>
        <v>12</v>
      </c>
      <c r="G50" s="28">
        <f>'BOM csv data'!G62</f>
        <v>9.4</v>
      </c>
      <c r="H50" s="28">
        <f>'BOM csv data'!H62</f>
        <v>8.9</v>
      </c>
      <c r="I50" s="28">
        <f>'BOM csv data'!I62</f>
        <v>10.199999999999999</v>
      </c>
      <c r="J50" s="28">
        <f>'BOM csv data'!J62</f>
        <v>12.3</v>
      </c>
      <c r="K50" s="28">
        <f>'BOM csv data'!K62</f>
        <v>14.4</v>
      </c>
      <c r="L50" s="28">
        <f>'BOM csv data'!L62</f>
        <v>15.7</v>
      </c>
      <c r="M50" s="28">
        <f>'BOM csv data'!M62</f>
        <v>17.2</v>
      </c>
      <c r="N50" s="28">
        <f>'BOM csv data'!N62</f>
        <v>14.1</v>
      </c>
      <c r="P50" s="130" t="s">
        <v>163</v>
      </c>
    </row>
    <row r="51" spans="1:16" ht="15" customHeight="1" outlineLevel="1" thickBot="1" x14ac:dyDescent="0.4">
      <c r="A51" s="25" t="s">
        <v>80</v>
      </c>
      <c r="B51" s="28">
        <f>'BOM csv data'!B63</f>
        <v>15.1</v>
      </c>
      <c r="C51" s="28">
        <f>'BOM csv data'!C63</f>
        <v>15.3</v>
      </c>
      <c r="D51" s="28">
        <f>'BOM csv data'!D63</f>
        <v>14.4</v>
      </c>
      <c r="E51" s="28">
        <f>'BOM csv data'!E63</f>
        <v>12.5</v>
      </c>
      <c r="F51" s="28">
        <f>'BOM csv data'!F63</f>
        <v>10.6</v>
      </c>
      <c r="G51" s="28">
        <f>'BOM csv data'!G63</f>
        <v>8.3000000000000007</v>
      </c>
      <c r="H51" s="28">
        <f>'BOM csv data'!H63</f>
        <v>7.5</v>
      </c>
      <c r="I51" s="28">
        <f>'BOM csv data'!I63</f>
        <v>8.4</v>
      </c>
      <c r="J51" s="28">
        <f>'BOM csv data'!J63</f>
        <v>9.8000000000000007</v>
      </c>
      <c r="K51" s="28">
        <f>'BOM csv data'!K63</f>
        <v>11.3</v>
      </c>
      <c r="L51" s="28">
        <f>'BOM csv data'!L63</f>
        <v>12.7</v>
      </c>
      <c r="M51" s="28">
        <f>'BOM csv data'!M63</f>
        <v>13.8</v>
      </c>
      <c r="N51" s="28">
        <f>'BOM csv data'!N63</f>
        <v>11.6</v>
      </c>
      <c r="P51" s="131" t="s">
        <v>164</v>
      </c>
    </row>
    <row r="52" spans="1:16" ht="15" customHeight="1" outlineLevel="1" thickBot="1" x14ac:dyDescent="0.4">
      <c r="A52" s="25" t="s">
        <v>81</v>
      </c>
      <c r="B52" s="28">
        <f>'BOM csv data'!B64</f>
        <v>12.1</v>
      </c>
      <c r="C52" s="28">
        <f>'BOM csv data'!C64</f>
        <v>12.8</v>
      </c>
      <c r="D52" s="28">
        <f>'BOM csv data'!D64</f>
        <v>11.9</v>
      </c>
      <c r="E52" s="28">
        <f>'BOM csv data'!E64</f>
        <v>10.199999999999999</v>
      </c>
      <c r="F52" s="28">
        <f>'BOM csv data'!F64</f>
        <v>8.9</v>
      </c>
      <c r="G52" s="28">
        <f>'BOM csv data'!G64</f>
        <v>7</v>
      </c>
      <c r="H52" s="28">
        <f>'BOM csv data'!H64</f>
        <v>6.1</v>
      </c>
      <c r="I52" s="28">
        <f>'BOM csv data'!I64</f>
        <v>6.3</v>
      </c>
      <c r="J52" s="28">
        <f>'BOM csv data'!J64</f>
        <v>7.2</v>
      </c>
      <c r="K52" s="28">
        <f>'BOM csv data'!K64</f>
        <v>8.3000000000000007</v>
      </c>
      <c r="L52" s="28">
        <f>'BOM csv data'!L64</f>
        <v>9.8000000000000007</v>
      </c>
      <c r="M52" s="28">
        <f>'BOM csv data'!M64</f>
        <v>10.8</v>
      </c>
      <c r="N52" s="28">
        <f>'BOM csv data'!N64</f>
        <v>9.3000000000000007</v>
      </c>
      <c r="P52" s="131" t="s">
        <v>165</v>
      </c>
    </row>
    <row r="53" spans="1:16" ht="15" customHeight="1" outlineLevel="1" thickBot="1" x14ac:dyDescent="0.4">
      <c r="A53" s="25" t="s">
        <v>82</v>
      </c>
      <c r="B53" s="28">
        <f>'BOM csv data'!B65</f>
        <v>68</v>
      </c>
      <c r="C53" s="28">
        <f>'BOM csv data'!C65</f>
        <v>72</v>
      </c>
      <c r="D53" s="28">
        <f>'BOM csv data'!D65</f>
        <v>73</v>
      </c>
      <c r="E53" s="28">
        <f>'BOM csv data'!E65</f>
        <v>76</v>
      </c>
      <c r="F53" s="28">
        <f>'BOM csv data'!F65</f>
        <v>83</v>
      </c>
      <c r="G53" s="28">
        <f>'BOM csv data'!G65</f>
        <v>85</v>
      </c>
      <c r="H53" s="28">
        <f>'BOM csv data'!H65</f>
        <v>83</v>
      </c>
      <c r="I53" s="28">
        <f>'BOM csv data'!I65</f>
        <v>78</v>
      </c>
      <c r="J53" s="28">
        <f>'BOM csv data'!J65</f>
        <v>73</v>
      </c>
      <c r="K53" s="28">
        <f>'BOM csv data'!K65</f>
        <v>69</v>
      </c>
      <c r="L53" s="28">
        <f>'BOM csv data'!L65</f>
        <v>70</v>
      </c>
      <c r="M53" s="28">
        <f>'BOM csv data'!M65</f>
        <v>68</v>
      </c>
      <c r="N53" s="28">
        <f>'BOM csv data'!N65</f>
        <v>75</v>
      </c>
      <c r="P53" s="131" t="s">
        <v>179</v>
      </c>
    </row>
    <row r="54" spans="1:16" ht="15" customHeight="1" outlineLevel="1" thickBot="1" x14ac:dyDescent="0.4">
      <c r="A54" s="25" t="s">
        <v>83</v>
      </c>
      <c r="B54" s="28">
        <f>'BOM csv data'!B66</f>
        <v>5.3</v>
      </c>
      <c r="C54" s="28">
        <f>'BOM csv data'!C66</f>
        <v>4.8</v>
      </c>
      <c r="D54" s="28">
        <f>'BOM csv data'!D66</f>
        <v>5.3</v>
      </c>
      <c r="E54" s="28">
        <f>'BOM csv data'!E66</f>
        <v>5.4</v>
      </c>
      <c r="F54" s="28">
        <f>'BOM csv data'!F66</f>
        <v>5.7</v>
      </c>
      <c r="G54" s="28">
        <f>'BOM csv data'!G66</f>
        <v>5.6</v>
      </c>
      <c r="H54" s="28">
        <f>'BOM csv data'!H66</f>
        <v>5.6</v>
      </c>
      <c r="I54" s="28">
        <f>'BOM csv data'!I66</f>
        <v>5.7</v>
      </c>
      <c r="J54" s="28">
        <f>'BOM csv data'!J66</f>
        <v>5.5</v>
      </c>
      <c r="K54" s="28">
        <f>'BOM csv data'!K66</f>
        <v>5.3</v>
      </c>
      <c r="L54" s="28">
        <f>'BOM csv data'!L66</f>
        <v>5.6</v>
      </c>
      <c r="M54" s="28">
        <f>'BOM csv data'!M66</f>
        <v>5.4</v>
      </c>
      <c r="N54" s="28">
        <f>'BOM csv data'!N66</f>
        <v>5.4</v>
      </c>
      <c r="P54" s="132" t="s">
        <v>180</v>
      </c>
    </row>
    <row r="55" spans="1:16" ht="15" customHeight="1" outlineLevel="1" thickTop="1" thickBot="1" x14ac:dyDescent="0.4">
      <c r="A55" s="25" t="s">
        <v>84</v>
      </c>
      <c r="B55" s="28">
        <f>'BOM csv data'!B67</f>
        <v>15.2</v>
      </c>
      <c r="C55" s="28">
        <f>'BOM csv data'!C67</f>
        <v>12.7</v>
      </c>
      <c r="D55" s="28">
        <f>'BOM csv data'!D67</f>
        <v>13.6</v>
      </c>
      <c r="E55" s="28">
        <f>'BOM csv data'!E67</f>
        <v>13.3</v>
      </c>
      <c r="F55" s="28">
        <f>'BOM csv data'!F67</f>
        <v>13</v>
      </c>
      <c r="G55" s="28">
        <f>'BOM csv data'!G67</f>
        <v>13.6</v>
      </c>
      <c r="H55" s="28">
        <f>'BOM csv data'!H67</f>
        <v>15.6</v>
      </c>
      <c r="I55" s="28">
        <f>'BOM csv data'!I67</f>
        <v>17.8</v>
      </c>
      <c r="J55" s="28">
        <f>'BOM csv data'!J67</f>
        <v>18.8</v>
      </c>
      <c r="K55" s="28">
        <f>'BOM csv data'!K67</f>
        <v>18.600000000000001</v>
      </c>
      <c r="L55" s="28">
        <f>'BOM csv data'!L67</f>
        <v>15.9</v>
      </c>
      <c r="M55" s="28">
        <f>'BOM csv data'!M67</f>
        <v>16.100000000000001</v>
      </c>
      <c r="N55" s="28">
        <f>'BOM csv data'!N67</f>
        <v>15.4</v>
      </c>
    </row>
    <row r="56" spans="1:16" ht="16" thickBot="1" x14ac:dyDescent="0.4">
      <c r="A56" s="475" t="s">
        <v>85</v>
      </c>
      <c r="B56" s="476"/>
      <c r="C56" s="476"/>
      <c r="D56" s="476"/>
      <c r="E56" s="476"/>
      <c r="F56" s="476"/>
      <c r="G56" s="476"/>
      <c r="H56" s="476"/>
      <c r="I56" s="476"/>
      <c r="J56" s="476"/>
      <c r="K56" s="476"/>
      <c r="L56" s="476"/>
      <c r="M56" s="476"/>
      <c r="N56" s="476"/>
    </row>
    <row r="57" spans="1:16" ht="15" customHeight="1" outlineLevel="1" thickBot="1" x14ac:dyDescent="0.4">
      <c r="A57" s="25" t="s">
        <v>86</v>
      </c>
      <c r="B57" s="28">
        <f>'BOM csv data'!B68</f>
        <v>23.2</v>
      </c>
      <c r="C57" s="28">
        <f>'BOM csv data'!C68</f>
        <v>24.4</v>
      </c>
      <c r="D57" s="28">
        <f>'BOM csv data'!D68</f>
        <v>22.2</v>
      </c>
      <c r="E57" s="28">
        <f>'BOM csv data'!E68</f>
        <v>18.899999999999999</v>
      </c>
      <c r="F57" s="28">
        <f>'BOM csv data'!F68</f>
        <v>15.9</v>
      </c>
      <c r="G57" s="28">
        <f>'BOM csv data'!G68</f>
        <v>13.1</v>
      </c>
      <c r="H57" s="28">
        <f>'BOM csv data'!H68</f>
        <v>12.5</v>
      </c>
      <c r="I57" s="28">
        <f>'BOM csv data'!I68</f>
        <v>13.7</v>
      </c>
      <c r="J57" s="28">
        <f>'BOM csv data'!J68</f>
        <v>15.3</v>
      </c>
      <c r="K57" s="28">
        <f>'BOM csv data'!K68</f>
        <v>17.399999999999999</v>
      </c>
      <c r="L57" s="28">
        <f>'BOM csv data'!L68</f>
        <v>19.399999999999999</v>
      </c>
      <c r="M57" s="28">
        <f>'BOM csv data'!M68</f>
        <v>21.8</v>
      </c>
      <c r="N57" s="28">
        <f>'BOM csv data'!N68</f>
        <v>18.2</v>
      </c>
    </row>
    <row r="58" spans="1:16" ht="15" customHeight="1" outlineLevel="1" thickBot="1" x14ac:dyDescent="0.4">
      <c r="A58" s="25" t="s">
        <v>87</v>
      </c>
      <c r="B58" s="28">
        <f>'BOM csv data'!B69</f>
        <v>17</v>
      </c>
      <c r="C58" s="28">
        <f>'BOM csv data'!C69</f>
        <v>17.600000000000001</v>
      </c>
      <c r="D58" s="28">
        <f>'BOM csv data'!D69</f>
        <v>16.399999999999999</v>
      </c>
      <c r="E58" s="28">
        <f>'BOM csv data'!E69</f>
        <v>14.3</v>
      </c>
      <c r="F58" s="28">
        <f>'BOM csv data'!F69</f>
        <v>12.5</v>
      </c>
      <c r="G58" s="28">
        <f>'BOM csv data'!G69</f>
        <v>10.4</v>
      </c>
      <c r="H58" s="28">
        <f>'BOM csv data'!H69</f>
        <v>9.6</v>
      </c>
      <c r="I58" s="28">
        <f>'BOM csv data'!I69</f>
        <v>10.199999999999999</v>
      </c>
      <c r="J58" s="28">
        <f>'BOM csv data'!J69</f>
        <v>11.4</v>
      </c>
      <c r="K58" s="28">
        <f>'BOM csv data'!K69</f>
        <v>12.7</v>
      </c>
      <c r="L58" s="28">
        <f>'BOM csv data'!L69</f>
        <v>14.3</v>
      </c>
      <c r="M58" s="28">
        <f>'BOM csv data'!M69</f>
        <v>15.8</v>
      </c>
      <c r="N58" s="28">
        <f>'BOM csv data'!N69</f>
        <v>13.5</v>
      </c>
    </row>
    <row r="59" spans="1:16" ht="15" customHeight="1" outlineLevel="1" thickBot="1" x14ac:dyDescent="0.4">
      <c r="A59" s="25" t="s">
        <v>88</v>
      </c>
      <c r="B59" s="28">
        <f>'BOM csv data'!B70</f>
        <v>12.2</v>
      </c>
      <c r="C59" s="28">
        <f>'BOM csv data'!C70</f>
        <v>12.4</v>
      </c>
      <c r="D59" s="28">
        <f>'BOM csv data'!D70</f>
        <v>11.5</v>
      </c>
      <c r="E59" s="28">
        <f>'BOM csv data'!E70</f>
        <v>10.1</v>
      </c>
      <c r="F59" s="28">
        <f>'BOM csv data'!F70</f>
        <v>9.1</v>
      </c>
      <c r="G59" s="28">
        <f>'BOM csv data'!G70</f>
        <v>7.5</v>
      </c>
      <c r="H59" s="28">
        <f>'BOM csv data'!H70</f>
        <v>6.4</v>
      </c>
      <c r="I59" s="28">
        <f>'BOM csv data'!I70</f>
        <v>6.2</v>
      </c>
      <c r="J59" s="28">
        <f>'BOM csv data'!J70</f>
        <v>7.4</v>
      </c>
      <c r="K59" s="28">
        <f>'BOM csv data'!K70</f>
        <v>8.3000000000000007</v>
      </c>
      <c r="L59" s="28">
        <f>'BOM csv data'!L70</f>
        <v>9.8000000000000007</v>
      </c>
      <c r="M59" s="28">
        <f>'BOM csv data'!M70</f>
        <v>11</v>
      </c>
      <c r="N59" s="28">
        <f>'BOM csv data'!N70</f>
        <v>9.3000000000000007</v>
      </c>
    </row>
    <row r="60" spans="1:16" ht="15" customHeight="1" outlineLevel="1" thickBot="1" x14ac:dyDescent="0.4">
      <c r="A60" s="25" t="s">
        <v>89</v>
      </c>
      <c r="B60" s="28">
        <f>'BOM csv data'!B71</f>
        <v>53</v>
      </c>
      <c r="C60" s="28">
        <f>'BOM csv data'!C71</f>
        <v>51</v>
      </c>
      <c r="D60" s="28">
        <f>'BOM csv data'!D71</f>
        <v>54</v>
      </c>
      <c r="E60" s="28">
        <f>'BOM csv data'!E71</f>
        <v>59</v>
      </c>
      <c r="F60" s="28">
        <f>'BOM csv data'!F71</f>
        <v>65</v>
      </c>
      <c r="G60" s="28">
        <f>'BOM csv data'!G71</f>
        <v>70</v>
      </c>
      <c r="H60" s="28">
        <f>'BOM csv data'!H71</f>
        <v>67</v>
      </c>
      <c r="I60" s="28">
        <f>'BOM csv data'!I71</f>
        <v>62</v>
      </c>
      <c r="J60" s="28">
        <f>'BOM csv data'!J71</f>
        <v>61</v>
      </c>
      <c r="K60" s="28">
        <f>'BOM csv data'!K71</f>
        <v>58</v>
      </c>
      <c r="L60" s="28">
        <f>'BOM csv data'!L71</f>
        <v>57</v>
      </c>
      <c r="M60" s="28">
        <f>'BOM csv data'!M71</f>
        <v>54</v>
      </c>
      <c r="N60" s="28">
        <f>'BOM csv data'!N71</f>
        <v>59</v>
      </c>
    </row>
    <row r="61" spans="1:16" ht="15" customHeight="1" outlineLevel="1" thickBot="1" x14ac:dyDescent="0.4">
      <c r="A61" s="25" t="s">
        <v>90</v>
      </c>
      <c r="B61" s="28">
        <f>'BOM csv data'!B72</f>
        <v>3.6</v>
      </c>
      <c r="C61" s="28">
        <f>'BOM csv data'!C72</f>
        <v>4</v>
      </c>
      <c r="D61" s="28">
        <f>'BOM csv data'!D72</f>
        <v>4.7</v>
      </c>
      <c r="E61" s="28">
        <f>'BOM csv data'!E72</f>
        <v>5.2</v>
      </c>
      <c r="F61" s="28">
        <f>'BOM csv data'!F72</f>
        <v>5.5</v>
      </c>
      <c r="G61" s="28">
        <f>'BOM csv data'!G72</f>
        <v>5.7</v>
      </c>
      <c r="H61" s="28">
        <f>'BOM csv data'!H72</f>
        <v>5</v>
      </c>
      <c r="I61" s="28">
        <f>'BOM csv data'!I72</f>
        <v>5.4</v>
      </c>
      <c r="J61" s="28">
        <f>'BOM csv data'!J72</f>
        <v>5.5</v>
      </c>
      <c r="K61" s="28">
        <f>'BOM csv data'!K72</f>
        <v>5.0999999999999996</v>
      </c>
      <c r="L61" s="28">
        <f>'BOM csv data'!L72</f>
        <v>4.7</v>
      </c>
      <c r="M61" s="28">
        <f>'BOM csv data'!M72</f>
        <v>5</v>
      </c>
      <c r="N61" s="28">
        <f>'BOM csv data'!N72</f>
        <v>5</v>
      </c>
    </row>
    <row r="62" spans="1:16" ht="15" customHeight="1" outlineLevel="1" thickTop="1" thickBot="1" x14ac:dyDescent="0.4">
      <c r="A62" s="25" t="s">
        <v>91</v>
      </c>
      <c r="B62" s="28">
        <f>'BOM csv data'!B73</f>
        <v>23.3</v>
      </c>
      <c r="C62" s="28">
        <f>'BOM csv data'!C73</f>
        <v>22</v>
      </c>
      <c r="D62" s="28">
        <f>'BOM csv data'!D73</f>
        <v>21.2</v>
      </c>
      <c r="E62" s="28">
        <f>'BOM csv data'!E73</f>
        <v>19.5</v>
      </c>
      <c r="F62" s="28">
        <f>'BOM csv data'!F73</f>
        <v>18.2</v>
      </c>
      <c r="G62" s="28">
        <f>'BOM csv data'!G73</f>
        <v>18.899999999999999</v>
      </c>
      <c r="H62" s="28">
        <f>'BOM csv data'!H73</f>
        <v>20.5</v>
      </c>
      <c r="I62" s="28">
        <f>'BOM csv data'!I73</f>
        <v>22</v>
      </c>
      <c r="J62" s="28">
        <f>'BOM csv data'!J73</f>
        <v>22.7</v>
      </c>
      <c r="K62" s="28">
        <f>'BOM csv data'!K73</f>
        <v>23</v>
      </c>
      <c r="L62" s="28">
        <f>'BOM csv data'!L73</f>
        <v>22.6</v>
      </c>
      <c r="M62" s="28">
        <f>'BOM csv data'!M73</f>
        <v>23.1</v>
      </c>
      <c r="N62" s="28">
        <f>'BOM csv data'!N73</f>
        <v>21.4</v>
      </c>
      <c r="P62" s="133" t="s">
        <v>166</v>
      </c>
    </row>
    <row r="63" spans="1:16" ht="15" thickTop="1" x14ac:dyDescent="0.35"/>
    <row r="65" hidden="1" outlineLevel="1" x14ac:dyDescent="0.35"/>
    <row r="66" hidden="1" outlineLevel="1" x14ac:dyDescent="0.35"/>
    <row r="67" hidden="1" outlineLevel="1" x14ac:dyDescent="0.35"/>
    <row r="68" hidden="1" outlineLevel="1" x14ac:dyDescent="0.35"/>
    <row r="69" hidden="1" outlineLevel="1" x14ac:dyDescent="0.35"/>
    <row r="70" hidden="1" outlineLevel="1" x14ac:dyDescent="0.35"/>
    <row r="71" hidden="1" outlineLevel="1" x14ac:dyDescent="0.35"/>
    <row r="72" hidden="1" outlineLevel="1" x14ac:dyDescent="0.35"/>
    <row r="73" hidden="1" outlineLevel="1" x14ac:dyDescent="0.35"/>
    <row r="74" hidden="1" outlineLevel="1" x14ac:dyDescent="0.35"/>
    <row r="75" hidden="1" outlineLevel="1" x14ac:dyDescent="0.35"/>
    <row r="76" hidden="1" outlineLevel="1" x14ac:dyDescent="0.35"/>
    <row r="77" hidden="1" outlineLevel="1" x14ac:dyDescent="0.35"/>
    <row r="78" hidden="1" outlineLevel="1" x14ac:dyDescent="0.35"/>
    <row r="79" hidden="1" outlineLevel="1" x14ac:dyDescent="0.35"/>
    <row r="80" hidden="1" outlineLevel="1" x14ac:dyDescent="0.35"/>
    <row r="81" hidden="1" outlineLevel="1" x14ac:dyDescent="0.35"/>
    <row r="82" hidden="1" outlineLevel="1" x14ac:dyDescent="0.35"/>
    <row r="83" hidden="1" outlineLevel="1" x14ac:dyDescent="0.35"/>
    <row r="84" hidden="1" outlineLevel="1" x14ac:dyDescent="0.35"/>
    <row r="85" hidden="1" outlineLevel="1" x14ac:dyDescent="0.35"/>
    <row r="86" hidden="1" outlineLevel="1" x14ac:dyDescent="0.35"/>
    <row r="87" hidden="1" outlineLevel="1" x14ac:dyDescent="0.35"/>
    <row r="88" hidden="1" outlineLevel="1" x14ac:dyDescent="0.35"/>
    <row r="89" hidden="1" outlineLevel="1" x14ac:dyDescent="0.35"/>
    <row r="90" hidden="1" outlineLevel="1" x14ac:dyDescent="0.35"/>
    <row r="91" hidden="1" outlineLevel="1" x14ac:dyDescent="0.35"/>
    <row r="92" hidden="1" outlineLevel="1" x14ac:dyDescent="0.35"/>
    <row r="93" hidden="1" outlineLevel="1" x14ac:dyDescent="0.35"/>
    <row r="94" hidden="1" outlineLevel="1" x14ac:dyDescent="0.35"/>
    <row r="95" hidden="1" outlineLevel="1" x14ac:dyDescent="0.35"/>
    <row r="96" hidden="1" outlineLevel="1" x14ac:dyDescent="0.35"/>
    <row r="97" hidden="1" outlineLevel="1" x14ac:dyDescent="0.35"/>
    <row r="98" hidden="1" outlineLevel="1" x14ac:dyDescent="0.35"/>
    <row r="99" hidden="1" outlineLevel="1" x14ac:dyDescent="0.35"/>
    <row r="100" hidden="1" outlineLevel="1" x14ac:dyDescent="0.35"/>
    <row r="101" hidden="1" outlineLevel="1" x14ac:dyDescent="0.35"/>
    <row r="102" hidden="1" outlineLevel="1" x14ac:dyDescent="0.35"/>
    <row r="103" hidden="1" outlineLevel="1" x14ac:dyDescent="0.35"/>
    <row r="104" hidden="1" outlineLevel="1" x14ac:dyDescent="0.35"/>
    <row r="105" hidden="1" outlineLevel="1" x14ac:dyDescent="0.35"/>
    <row r="106" hidden="1" outlineLevel="1" x14ac:dyDescent="0.35"/>
    <row r="107" hidden="1" outlineLevel="1" x14ac:dyDescent="0.35"/>
    <row r="108" hidden="1" outlineLevel="1" x14ac:dyDescent="0.35"/>
    <row r="109" hidden="1" outlineLevel="1" x14ac:dyDescent="0.35"/>
    <row r="110" hidden="1" outlineLevel="1" x14ac:dyDescent="0.35"/>
    <row r="111" hidden="1" outlineLevel="1" x14ac:dyDescent="0.35"/>
    <row r="112" hidden="1" outlineLevel="1" x14ac:dyDescent="0.35"/>
    <row r="113" hidden="1" outlineLevel="1" x14ac:dyDescent="0.35"/>
    <row r="114" hidden="1" outlineLevel="1" x14ac:dyDescent="0.35"/>
    <row r="115" hidden="1" outlineLevel="1" x14ac:dyDescent="0.35"/>
    <row r="116" hidden="1" outlineLevel="1" x14ac:dyDescent="0.35"/>
    <row r="117" hidden="1" outlineLevel="1" x14ac:dyDescent="0.35"/>
    <row r="118" hidden="1" outlineLevel="1" x14ac:dyDescent="0.35"/>
    <row r="119" hidden="1" outlineLevel="1" x14ac:dyDescent="0.35"/>
    <row r="120" hidden="1" outlineLevel="1" x14ac:dyDescent="0.35"/>
    <row r="121" hidden="1" outlineLevel="1" x14ac:dyDescent="0.35"/>
    <row r="122" hidden="1" outlineLevel="1" x14ac:dyDescent="0.35"/>
    <row r="123" hidden="1" outlineLevel="1" x14ac:dyDescent="0.35"/>
    <row r="124" hidden="1" outlineLevel="1" x14ac:dyDescent="0.35"/>
    <row r="125" hidden="1" outlineLevel="1" x14ac:dyDescent="0.35"/>
    <row r="126" hidden="1" outlineLevel="1" x14ac:dyDescent="0.35"/>
    <row r="127" hidden="1" outlineLevel="1" x14ac:dyDescent="0.35"/>
    <row r="128" hidden="1" outlineLevel="1" x14ac:dyDescent="0.35"/>
    <row r="129" hidden="1" outlineLevel="1" x14ac:dyDescent="0.35"/>
    <row r="130" hidden="1" outlineLevel="1" x14ac:dyDescent="0.35"/>
    <row r="131" hidden="1" outlineLevel="1" x14ac:dyDescent="0.35"/>
    <row r="132" hidden="1" outlineLevel="1" x14ac:dyDescent="0.35"/>
    <row r="133" hidden="1" outlineLevel="1" x14ac:dyDescent="0.35"/>
    <row r="134" hidden="1" outlineLevel="1" x14ac:dyDescent="0.35"/>
    <row r="135" hidden="1" outlineLevel="1" x14ac:dyDescent="0.35"/>
    <row r="136" hidden="1" outlineLevel="1" x14ac:dyDescent="0.35"/>
    <row r="137" hidden="1" outlineLevel="1" x14ac:dyDescent="0.35"/>
    <row r="138" hidden="1" outlineLevel="1" x14ac:dyDescent="0.35"/>
    <row r="139" hidden="1" outlineLevel="1" x14ac:dyDescent="0.35"/>
    <row r="140" hidden="1" outlineLevel="1" x14ac:dyDescent="0.35"/>
    <row r="141" hidden="1" outlineLevel="1" x14ac:dyDescent="0.35"/>
    <row r="142" hidden="1" outlineLevel="1" x14ac:dyDescent="0.35"/>
    <row r="143" hidden="1" outlineLevel="1" x14ac:dyDescent="0.35"/>
    <row r="144" hidden="1" outlineLevel="1" x14ac:dyDescent="0.35"/>
    <row r="145" spans="1:16" hidden="1" outlineLevel="1" x14ac:dyDescent="0.35"/>
    <row r="146" spans="1:16" hidden="1" outlineLevel="1" x14ac:dyDescent="0.35"/>
    <row r="147" spans="1:16" hidden="1" outlineLevel="1" x14ac:dyDescent="0.35"/>
    <row r="148" spans="1:16" hidden="1" outlineLevel="1" x14ac:dyDescent="0.35"/>
    <row r="149" spans="1:16" hidden="1" outlineLevel="1" x14ac:dyDescent="0.35"/>
    <row r="150" spans="1:16" collapsed="1" x14ac:dyDescent="0.35"/>
    <row r="151" spans="1:16" ht="15" thickBot="1" x14ac:dyDescent="0.4">
      <c r="A151" s="25" t="s">
        <v>144</v>
      </c>
    </row>
    <row r="152" spans="1:16" ht="16" thickBot="1" x14ac:dyDescent="0.4">
      <c r="A152" s="471" t="s">
        <v>18</v>
      </c>
      <c r="B152" s="472"/>
      <c r="C152" s="472"/>
      <c r="D152" s="472"/>
      <c r="E152" s="472"/>
      <c r="F152" s="472"/>
      <c r="G152" s="472"/>
      <c r="H152" s="472"/>
      <c r="I152" s="472"/>
      <c r="J152" s="472"/>
      <c r="K152" s="472"/>
      <c r="L152" s="472"/>
      <c r="M152" s="472"/>
      <c r="N152" s="472"/>
    </row>
    <row r="153" spans="1:16" ht="15.5" outlineLevel="1" thickTop="1" thickBot="1" x14ac:dyDescent="0.4">
      <c r="A153" s="249" t="s">
        <v>240</v>
      </c>
      <c r="B153" s="82" t="s">
        <v>234</v>
      </c>
      <c r="C153" s="250">
        <v>19</v>
      </c>
      <c r="D153" s="253" t="s">
        <v>242</v>
      </c>
      <c r="E153" s="250">
        <v>25</v>
      </c>
      <c r="F153" s="248" t="s">
        <v>235</v>
      </c>
      <c r="P153" s="130" t="s">
        <v>245</v>
      </c>
    </row>
    <row r="154" spans="1:16" outlineLevel="1" x14ac:dyDescent="0.35">
      <c r="B154" s="80" t="str">
        <f t="shared" ref="B154:M154" si="16">IF(B4&lt;$C153,"Low",(IF(B4&gt;$E153,"High","Med")))</f>
        <v>High</v>
      </c>
      <c r="C154" s="80" t="str">
        <f t="shared" si="16"/>
        <v>High</v>
      </c>
      <c r="D154" s="80" t="str">
        <f t="shared" si="16"/>
        <v>Med</v>
      </c>
      <c r="E154" s="80" t="str">
        <f t="shared" si="16"/>
        <v>Med</v>
      </c>
      <c r="F154" s="80" t="str">
        <f t="shared" si="16"/>
        <v>Low</v>
      </c>
      <c r="G154" s="80" t="str">
        <f t="shared" si="16"/>
        <v>Low</v>
      </c>
      <c r="H154" s="80" t="str">
        <f t="shared" si="16"/>
        <v>Low</v>
      </c>
      <c r="I154" s="80" t="str">
        <f t="shared" si="16"/>
        <v>Low</v>
      </c>
      <c r="J154" s="80" t="str">
        <f t="shared" si="16"/>
        <v>Low</v>
      </c>
      <c r="K154" s="80" t="str">
        <f t="shared" si="16"/>
        <v>Med</v>
      </c>
      <c r="L154" s="80" t="str">
        <f t="shared" si="16"/>
        <v>Med</v>
      </c>
      <c r="M154" s="80" t="str">
        <f t="shared" si="16"/>
        <v>Med</v>
      </c>
      <c r="P154" s="131" t="s">
        <v>244</v>
      </c>
    </row>
    <row r="155" spans="1:16" outlineLevel="1" x14ac:dyDescent="0.35">
      <c r="P155" s="131" t="s">
        <v>406</v>
      </c>
    </row>
    <row r="156" spans="1:16" outlineLevel="1" x14ac:dyDescent="0.35">
      <c r="P156" s="131" t="s">
        <v>407</v>
      </c>
    </row>
    <row r="157" spans="1:16" ht="15" outlineLevel="1" thickBot="1" x14ac:dyDescent="0.4">
      <c r="P157" s="132" t="s">
        <v>246</v>
      </c>
    </row>
    <row r="158" spans="1:16" ht="15" outlineLevel="1" thickTop="1" x14ac:dyDescent="0.35"/>
    <row r="159" spans="1:16" outlineLevel="1" x14ac:dyDescent="0.35"/>
    <row r="160" spans="1:16" outlineLevel="1" x14ac:dyDescent="0.35"/>
    <row r="161" spans="1:14" outlineLevel="1" x14ac:dyDescent="0.35"/>
    <row r="162" spans="1:14" outlineLevel="1" x14ac:dyDescent="0.35"/>
    <row r="163" spans="1:14" outlineLevel="1" x14ac:dyDescent="0.35"/>
    <row r="164" spans="1:14" outlineLevel="1" x14ac:dyDescent="0.35"/>
    <row r="165" spans="1:14" outlineLevel="1" x14ac:dyDescent="0.35"/>
    <row r="166" spans="1:14" outlineLevel="1" x14ac:dyDescent="0.35"/>
    <row r="167" spans="1:14" outlineLevel="1" x14ac:dyDescent="0.35"/>
    <row r="168" spans="1:14" outlineLevel="1" x14ac:dyDescent="0.35"/>
    <row r="169" spans="1:14" outlineLevel="1" x14ac:dyDescent="0.35"/>
    <row r="170" spans="1:14" outlineLevel="1" x14ac:dyDescent="0.35"/>
    <row r="171" spans="1:14" ht="15" outlineLevel="1" thickBot="1" x14ac:dyDescent="0.4"/>
    <row r="172" spans="1:14" ht="16" thickBot="1" x14ac:dyDescent="0.4">
      <c r="A172" s="471" t="s">
        <v>139</v>
      </c>
      <c r="B172" s="472"/>
      <c r="C172" s="472"/>
      <c r="D172" s="472"/>
      <c r="E172" s="472"/>
      <c r="F172" s="472"/>
      <c r="G172" s="472"/>
      <c r="H172" s="472"/>
      <c r="I172" s="472"/>
      <c r="J172" s="472"/>
      <c r="K172" s="472"/>
      <c r="L172" s="472"/>
      <c r="M172" s="472"/>
      <c r="N172" s="472"/>
    </row>
    <row r="173" spans="1:14" ht="15" outlineLevel="1" thickBot="1" x14ac:dyDescent="0.4">
      <c r="A173" s="249" t="s">
        <v>241</v>
      </c>
      <c r="B173" s="82" t="s">
        <v>236</v>
      </c>
      <c r="C173" s="250">
        <v>4</v>
      </c>
      <c r="D173" s="253" t="s">
        <v>243</v>
      </c>
      <c r="E173" s="250">
        <v>2</v>
      </c>
      <c r="F173" s="248" t="s">
        <v>237</v>
      </c>
    </row>
    <row r="174" spans="1:14" outlineLevel="1" x14ac:dyDescent="0.35">
      <c r="B174" s="80" t="str">
        <f t="shared" ref="B174:M174" si="17">IF(B16&lt;$E173,"High",(IF(B16&gt;$C173,"Low","Med")))</f>
        <v>Low</v>
      </c>
      <c r="C174" s="80" t="str">
        <f t="shared" si="17"/>
        <v>Low</v>
      </c>
      <c r="D174" s="80" t="str">
        <f t="shared" si="17"/>
        <v>Med</v>
      </c>
      <c r="E174" s="80" t="str">
        <f t="shared" si="17"/>
        <v>High</v>
      </c>
      <c r="F174" s="80" t="str">
        <f t="shared" si="17"/>
        <v>High</v>
      </c>
      <c r="G174" s="80" t="str">
        <f t="shared" si="17"/>
        <v>High</v>
      </c>
      <c r="H174" s="80" t="str">
        <f t="shared" si="17"/>
        <v>High</v>
      </c>
      <c r="I174" s="80" t="str">
        <f t="shared" si="17"/>
        <v>High</v>
      </c>
      <c r="J174" s="80" t="str">
        <f t="shared" si="17"/>
        <v>High</v>
      </c>
      <c r="K174" s="80" t="str">
        <f t="shared" si="17"/>
        <v>High</v>
      </c>
      <c r="L174" s="80" t="str">
        <f t="shared" si="17"/>
        <v>Med</v>
      </c>
      <c r="M174" s="80" t="str">
        <f t="shared" si="17"/>
        <v>High</v>
      </c>
    </row>
    <row r="175" spans="1:14" outlineLevel="1" x14ac:dyDescent="0.35"/>
    <row r="176" spans="1:14" outlineLevel="1" x14ac:dyDescent="0.35"/>
    <row r="177" spans="1:14" outlineLevel="1" x14ac:dyDescent="0.35"/>
    <row r="178" spans="1:14" outlineLevel="1" x14ac:dyDescent="0.35"/>
    <row r="179" spans="1:14" outlineLevel="1" x14ac:dyDescent="0.35"/>
    <row r="180" spans="1:14" outlineLevel="1" x14ac:dyDescent="0.35"/>
    <row r="181" spans="1:14" outlineLevel="1" x14ac:dyDescent="0.35"/>
    <row r="182" spans="1:14" outlineLevel="1" x14ac:dyDescent="0.35"/>
    <row r="183" spans="1:14" outlineLevel="1" x14ac:dyDescent="0.35"/>
    <row r="184" spans="1:14" outlineLevel="1" x14ac:dyDescent="0.35"/>
    <row r="185" spans="1:14" outlineLevel="1" x14ac:dyDescent="0.35"/>
    <row r="186" spans="1:14" outlineLevel="1" x14ac:dyDescent="0.35"/>
    <row r="187" spans="1:14" outlineLevel="1" x14ac:dyDescent="0.35"/>
    <row r="188" spans="1:14" outlineLevel="1" x14ac:dyDescent="0.35"/>
    <row r="189" spans="1:14" outlineLevel="1" x14ac:dyDescent="0.35"/>
    <row r="190" spans="1:14" ht="15" outlineLevel="1" thickBot="1" x14ac:dyDescent="0.4"/>
    <row r="191" spans="1:14" ht="16" thickBot="1" x14ac:dyDescent="0.4">
      <c r="A191" s="471" t="s">
        <v>138</v>
      </c>
      <c r="B191" s="472"/>
      <c r="C191" s="472"/>
      <c r="D191" s="472"/>
      <c r="E191" s="472"/>
      <c r="F191" s="472"/>
      <c r="G191" s="472"/>
      <c r="H191" s="472"/>
      <c r="I191" s="472"/>
      <c r="J191" s="472"/>
      <c r="K191" s="472"/>
      <c r="L191" s="472"/>
      <c r="M191" s="472"/>
      <c r="N191" s="472"/>
    </row>
    <row r="192" spans="1:14" ht="15" outlineLevel="1" thickBot="1" x14ac:dyDescent="0.4">
      <c r="B192" s="81">
        <f t="shared" ref="B192:M192" si="18">+B29/$N$29</f>
        <v>6.2729584628426108E-2</v>
      </c>
      <c r="C192" s="81">
        <f t="shared" si="18"/>
        <v>6.3577281717999437E-2</v>
      </c>
      <c r="D192" s="81">
        <f t="shared" si="18"/>
        <v>6.1740604690590568E-2</v>
      </c>
      <c r="E192" s="81">
        <f t="shared" si="18"/>
        <v>8.8301780163888108E-2</v>
      </c>
      <c r="F192" s="81">
        <f t="shared" si="18"/>
        <v>9.7343882452670255E-2</v>
      </c>
      <c r="G192" s="81">
        <f t="shared" si="18"/>
        <v>7.8977112178581527E-2</v>
      </c>
      <c r="H192" s="81">
        <f t="shared" si="18"/>
        <v>8.7171517377790345E-2</v>
      </c>
      <c r="I192" s="81">
        <f t="shared" si="18"/>
        <v>9.1975134218705845E-2</v>
      </c>
      <c r="J192" s="81">
        <f t="shared" si="18"/>
        <v>9.1268719977394747E-2</v>
      </c>
      <c r="K192" s="81">
        <f t="shared" si="18"/>
        <v>9.7202599604408024E-2</v>
      </c>
      <c r="L192" s="81">
        <f t="shared" si="18"/>
        <v>8.8160497315625891E-2</v>
      </c>
      <c r="M192" s="81">
        <f t="shared" si="18"/>
        <v>8.5476123198643686E-2</v>
      </c>
    </row>
    <row r="193" spans="1:14" outlineLevel="1" x14ac:dyDescent="0.35">
      <c r="B193" s="80" t="str">
        <f t="shared" ref="B193:M193" si="19">IF(B29&lt;$C194,"Low",(IF(B29&gt;$E194,"High","Med")))</f>
        <v>Low</v>
      </c>
      <c r="C193" s="80" t="str">
        <f t="shared" si="19"/>
        <v>Low</v>
      </c>
      <c r="D193" s="80" t="str">
        <f t="shared" si="19"/>
        <v>Low</v>
      </c>
      <c r="E193" s="80" t="str">
        <f t="shared" si="19"/>
        <v>Med</v>
      </c>
      <c r="F193" s="80" t="str">
        <f t="shared" si="19"/>
        <v>Med</v>
      </c>
      <c r="G193" s="80" t="str">
        <f t="shared" si="19"/>
        <v>Med</v>
      </c>
      <c r="H193" s="80" t="str">
        <f t="shared" si="19"/>
        <v>Med</v>
      </c>
      <c r="I193" s="80" t="str">
        <f t="shared" si="19"/>
        <v>Med</v>
      </c>
      <c r="J193" s="80" t="str">
        <f t="shared" si="19"/>
        <v>Med</v>
      </c>
      <c r="K193" s="80" t="str">
        <f t="shared" si="19"/>
        <v>Med</v>
      </c>
      <c r="L193" s="80" t="str">
        <f t="shared" si="19"/>
        <v>Med</v>
      </c>
      <c r="M193" s="80" t="str">
        <f t="shared" si="19"/>
        <v>Med</v>
      </c>
    </row>
    <row r="194" spans="1:14" outlineLevel="1" x14ac:dyDescent="0.35">
      <c r="A194" s="249" t="s">
        <v>239</v>
      </c>
      <c r="B194" s="82" t="s">
        <v>234</v>
      </c>
      <c r="C194" s="251">
        <v>50</v>
      </c>
      <c r="D194" s="253" t="s">
        <v>242</v>
      </c>
      <c r="E194" s="251">
        <v>100</v>
      </c>
      <c r="F194" s="248" t="s">
        <v>235</v>
      </c>
    </row>
    <row r="195" spans="1:14" outlineLevel="1" x14ac:dyDescent="0.35"/>
    <row r="196" spans="1:14" outlineLevel="1" x14ac:dyDescent="0.35"/>
    <row r="197" spans="1:14" outlineLevel="1" x14ac:dyDescent="0.35"/>
    <row r="198" spans="1:14" outlineLevel="1" x14ac:dyDescent="0.35"/>
    <row r="199" spans="1:14" outlineLevel="1" x14ac:dyDescent="0.35"/>
    <row r="200" spans="1:14" outlineLevel="1" x14ac:dyDescent="0.35"/>
    <row r="201" spans="1:14" outlineLevel="1" x14ac:dyDescent="0.35"/>
    <row r="202" spans="1:14" outlineLevel="1" x14ac:dyDescent="0.35"/>
    <row r="203" spans="1:14" outlineLevel="1" x14ac:dyDescent="0.35"/>
    <row r="204" spans="1:14" outlineLevel="1" x14ac:dyDescent="0.35"/>
    <row r="205" spans="1:14" outlineLevel="1" x14ac:dyDescent="0.35"/>
    <row r="206" spans="1:14" outlineLevel="1" x14ac:dyDescent="0.35"/>
    <row r="207" spans="1:14" ht="15" outlineLevel="1" thickBot="1" x14ac:dyDescent="0.4"/>
    <row r="208" spans="1:14" ht="16" thickBot="1" x14ac:dyDescent="0.4">
      <c r="A208" s="471" t="s">
        <v>20</v>
      </c>
      <c r="B208" s="472"/>
      <c r="C208" s="472"/>
      <c r="D208" s="472"/>
      <c r="E208" s="472"/>
      <c r="F208" s="472"/>
      <c r="G208" s="472"/>
      <c r="H208" s="472"/>
      <c r="I208" s="472"/>
      <c r="J208" s="472"/>
      <c r="K208" s="472"/>
      <c r="L208" s="472"/>
      <c r="M208" s="472"/>
      <c r="N208" s="472"/>
    </row>
    <row r="209" spans="1:13" ht="15" outlineLevel="1" thickBot="1" x14ac:dyDescent="0.4">
      <c r="A209" s="82" t="str">
        <f>A62</f>
        <v xml:space="preserve">Mean 3pm wind speed (km/h) </v>
      </c>
      <c r="B209" s="83">
        <f>B62</f>
        <v>23.3</v>
      </c>
      <c r="C209" s="83">
        <f t="shared" ref="C209:M209" si="20">C62</f>
        <v>22</v>
      </c>
      <c r="D209" s="83">
        <f t="shared" si="20"/>
        <v>21.2</v>
      </c>
      <c r="E209" s="83">
        <f t="shared" si="20"/>
        <v>19.5</v>
      </c>
      <c r="F209" s="83">
        <f t="shared" si="20"/>
        <v>18.2</v>
      </c>
      <c r="G209" s="83">
        <f t="shared" si="20"/>
        <v>18.899999999999999</v>
      </c>
      <c r="H209" s="83">
        <f t="shared" si="20"/>
        <v>20.5</v>
      </c>
      <c r="I209" s="83">
        <f t="shared" si="20"/>
        <v>22</v>
      </c>
      <c r="J209" s="83">
        <f t="shared" si="20"/>
        <v>22.7</v>
      </c>
      <c r="K209" s="83">
        <f t="shared" si="20"/>
        <v>23</v>
      </c>
      <c r="L209" s="83">
        <f t="shared" si="20"/>
        <v>22.6</v>
      </c>
      <c r="M209" s="83">
        <f t="shared" si="20"/>
        <v>23.1</v>
      </c>
    </row>
    <row r="210" spans="1:13" outlineLevel="1" x14ac:dyDescent="0.35">
      <c r="B210" s="80" t="str">
        <f>IF(B209&lt;$C211,"Low",(IF(B209&gt;$E211,"High","Med")))</f>
        <v>Med</v>
      </c>
      <c r="C210" s="80" t="str">
        <f t="shared" ref="C210:M210" si="21">IF(C209&lt;$C211,"Low",(IF(C209&gt;$E211,"High","Med")))</f>
        <v>Med</v>
      </c>
      <c r="D210" s="80" t="str">
        <f t="shared" si="21"/>
        <v>Med</v>
      </c>
      <c r="E210" s="80" t="str">
        <f t="shared" si="21"/>
        <v>Low</v>
      </c>
      <c r="F210" s="80" t="str">
        <f t="shared" si="21"/>
        <v>Low</v>
      </c>
      <c r="G210" s="80" t="str">
        <f t="shared" si="21"/>
        <v>Low</v>
      </c>
      <c r="H210" s="80" t="str">
        <f t="shared" si="21"/>
        <v>Med</v>
      </c>
      <c r="I210" s="80" t="str">
        <f t="shared" si="21"/>
        <v>Med</v>
      </c>
      <c r="J210" s="80" t="str">
        <f t="shared" si="21"/>
        <v>Med</v>
      </c>
      <c r="K210" s="80" t="str">
        <f t="shared" si="21"/>
        <v>Med</v>
      </c>
      <c r="L210" s="80" t="str">
        <f t="shared" si="21"/>
        <v>Med</v>
      </c>
      <c r="M210" s="80" t="str">
        <f t="shared" si="21"/>
        <v>Med</v>
      </c>
    </row>
    <row r="211" spans="1:13" outlineLevel="1" x14ac:dyDescent="0.35">
      <c r="A211" s="249" t="s">
        <v>238</v>
      </c>
      <c r="B211" s="82" t="s">
        <v>234</v>
      </c>
      <c r="C211" s="252">
        <v>20</v>
      </c>
      <c r="D211" s="253" t="s">
        <v>242</v>
      </c>
      <c r="E211" s="252">
        <v>36</v>
      </c>
      <c r="F211" s="248" t="s">
        <v>235</v>
      </c>
    </row>
    <row r="212" spans="1:13" outlineLevel="1" x14ac:dyDescent="0.35"/>
    <row r="213" spans="1:13" outlineLevel="1" x14ac:dyDescent="0.35">
      <c r="A213" s="25" t="s">
        <v>143</v>
      </c>
    </row>
    <row r="214" spans="1:13" outlineLevel="1" x14ac:dyDescent="0.35">
      <c r="A214" s="25" t="s">
        <v>295</v>
      </c>
    </row>
    <row r="215" spans="1:13" outlineLevel="1" x14ac:dyDescent="0.35">
      <c r="A215" s="25" t="s">
        <v>225</v>
      </c>
    </row>
    <row r="216" spans="1:13" outlineLevel="1" x14ac:dyDescent="0.35">
      <c r="A216" s="25" t="s">
        <v>226</v>
      </c>
    </row>
    <row r="217" spans="1:13" outlineLevel="1" x14ac:dyDescent="0.35">
      <c r="A217" s="25" t="s">
        <v>227</v>
      </c>
    </row>
    <row r="218" spans="1:13" outlineLevel="1" x14ac:dyDescent="0.35"/>
    <row r="219" spans="1:13" outlineLevel="1" x14ac:dyDescent="0.35"/>
    <row r="220" spans="1:13" outlineLevel="1" x14ac:dyDescent="0.35"/>
    <row r="221" spans="1:13" outlineLevel="1" x14ac:dyDescent="0.35"/>
    <row r="222" spans="1:13" outlineLevel="1" x14ac:dyDescent="0.35"/>
    <row r="223" spans="1:13" outlineLevel="1" x14ac:dyDescent="0.35"/>
    <row r="224" spans="1:13" outlineLevel="1" x14ac:dyDescent="0.35"/>
    <row r="225" outlineLevel="1" x14ac:dyDescent="0.35"/>
    <row r="226" outlineLevel="1" x14ac:dyDescent="0.35"/>
  </sheetData>
  <mergeCells count="15">
    <mergeCell ref="A208:N208"/>
    <mergeCell ref="A49:N49"/>
    <mergeCell ref="A56:N56"/>
    <mergeCell ref="A3:N3"/>
    <mergeCell ref="A14:N14"/>
    <mergeCell ref="A22:N22"/>
    <mergeCell ref="A26:N26"/>
    <mergeCell ref="A41:N41"/>
    <mergeCell ref="P3:P4"/>
    <mergeCell ref="P14:P15"/>
    <mergeCell ref="P41:P42"/>
    <mergeCell ref="A191:N191"/>
    <mergeCell ref="A152:N152"/>
    <mergeCell ref="A172:N172"/>
    <mergeCell ref="P26:P27"/>
  </mergeCells>
  <conditionalFormatting sqref="B154:M154">
    <cfRule type="cellIs" dxfId="13" priority="31" operator="equal">
      <formula>"Low"</formula>
    </cfRule>
    <cfRule type="cellIs" dxfId="12" priority="32" operator="equal">
      <formula>"Med"</formula>
    </cfRule>
    <cfRule type="cellIs" dxfId="11" priority="33" operator="equal">
      <formula>"High"</formula>
    </cfRule>
  </conditionalFormatting>
  <conditionalFormatting sqref="B174:M174">
    <cfRule type="cellIs" dxfId="10" priority="1" operator="equal">
      <formula>"Low"</formula>
    </cfRule>
    <cfRule type="cellIs" dxfId="9" priority="2" operator="equal">
      <formula>"Med"</formula>
    </cfRule>
    <cfRule type="cellIs" dxfId="8" priority="3" operator="equal">
      <formula>"High"</formula>
    </cfRule>
  </conditionalFormatting>
  <conditionalFormatting sqref="B193:M193">
    <cfRule type="cellIs" dxfId="7" priority="34" operator="equal">
      <formula>"Low"</formula>
    </cfRule>
    <cfRule type="cellIs" dxfId="6" priority="35" operator="equal">
      <formula>"Med"</formula>
    </cfRule>
    <cfRule type="cellIs" dxfId="5" priority="36" operator="equal">
      <formula>"High"</formula>
    </cfRule>
  </conditionalFormatting>
  <conditionalFormatting sqref="B210:M210">
    <cfRule type="cellIs" dxfId="4" priority="10" operator="equal">
      <formula>"Low"</formula>
    </cfRule>
    <cfRule type="cellIs" dxfId="3" priority="11" operator="equal">
      <formula>"Med"</formula>
    </cfRule>
    <cfRule type="cellIs" dxfId="2" priority="12" operator="equal">
      <formula>"High"</formula>
    </cfRule>
  </conditionalFormatting>
  <conditionalFormatting sqref="B43:N43">
    <cfRule type="colorScale" priority="37">
      <colorScale>
        <cfvo type="min"/>
        <cfvo type="percentile" val="50"/>
        <cfvo type="max"/>
        <color rgb="FF5A8AC6"/>
        <color rgb="FFFCFCFF"/>
        <color rgb="FFF8696B"/>
      </colorScale>
    </cfRule>
  </conditionalFormatting>
  <conditionalFormatting sqref="B55:N55 B62:N62">
    <cfRule type="colorScale" priority="38">
      <colorScale>
        <cfvo type="min"/>
        <cfvo type="percentile" val="50"/>
        <cfvo type="max"/>
        <color rgb="FF63BE7B"/>
        <color rgb="FFFCFCFF"/>
        <color rgb="FFF8696B"/>
      </colorScale>
    </cfRule>
  </conditionalFormatting>
  <hyperlinks>
    <hyperlink ref="P3" location="Climate!A170" display="Link to Heat graph" xr:uid="{00000000-0004-0000-0300-000000000000}"/>
    <hyperlink ref="P14" location="Climate!A189" display="Link to Cold Graph" xr:uid="{00000000-0004-0000-0300-000001000000}"/>
    <hyperlink ref="P26" location="Climate!A206" display="Link to Rainfall Graph" xr:uid="{00000000-0004-0000-0300-000002000000}"/>
    <hyperlink ref="P41" location="Climate!A226" display="Link to Wind Graph" xr:uid="{00000000-0004-0000-0300-000003000000}"/>
    <hyperlink ref="A3:N3" location="Climate!A170" display="Maximum temperature" xr:uid="{00000000-0004-0000-0300-000004000000}"/>
    <hyperlink ref="A14:N14" location="Climate!A189" display="Minimum temperature" xr:uid="{00000000-0004-0000-0300-000005000000}"/>
    <hyperlink ref="A26:N26" location="Climate!A206" display="Rainfall" xr:uid="{00000000-0004-0000-0300-000006000000}"/>
    <hyperlink ref="A41:N41" location="Climate!A226" display="Other daily elements : Wind, Sunshine, Clear/Cloudy, Evaporation" xr:uid="{00000000-0004-0000-0300-000007000000}"/>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V81"/>
  <sheetViews>
    <sheetView showZeros="0" topLeftCell="A64" zoomScale="85" zoomScaleNormal="85" zoomScaleSheetLayoutView="100" workbookViewId="0">
      <selection activeCell="P10" sqref="P10"/>
    </sheetView>
  </sheetViews>
  <sheetFormatPr defaultRowHeight="14.5" outlineLevelRow="1" x14ac:dyDescent="0.35"/>
  <cols>
    <col min="1" max="1" width="18.453125" customWidth="1"/>
    <col min="2" max="2" width="20.08984375" customWidth="1"/>
    <col min="3" max="3" width="13.1796875" bestFit="1" customWidth="1"/>
    <col min="4" max="4" width="8.90625" customWidth="1"/>
    <col min="5" max="5" width="5.6328125" bestFit="1" customWidth="1"/>
    <col min="6" max="6" width="9.54296875" customWidth="1"/>
    <col min="7" max="7" width="9.36328125" customWidth="1"/>
    <col min="8" max="10" width="5.6328125" customWidth="1"/>
    <col min="11" max="11" width="6" customWidth="1"/>
    <col min="12" max="19" width="5.6328125" customWidth="1"/>
    <col min="20" max="20" width="1.36328125" customWidth="1"/>
    <col min="21" max="21" width="4.36328125" customWidth="1"/>
    <col min="22" max="22" width="85.6328125" customWidth="1"/>
  </cols>
  <sheetData>
    <row r="1" spans="1:22" ht="19" thickBot="1" x14ac:dyDescent="0.4">
      <c r="A1" s="458" t="s">
        <v>228</v>
      </c>
      <c r="B1" s="458"/>
      <c r="C1" s="458"/>
      <c r="D1" s="458"/>
      <c r="E1" s="459"/>
      <c r="F1" s="386" t="s">
        <v>212</v>
      </c>
      <c r="G1" s="386"/>
      <c r="H1" s="452" t="s">
        <v>183</v>
      </c>
      <c r="I1" s="453"/>
      <c r="J1" s="453"/>
      <c r="K1" s="453"/>
      <c r="L1" s="453"/>
      <c r="M1" s="453"/>
      <c r="N1" s="453">
        <v>2017</v>
      </c>
      <c r="O1" s="453"/>
      <c r="P1" s="453"/>
      <c r="Q1" s="453"/>
      <c r="R1" s="453"/>
      <c r="S1" s="454"/>
      <c r="U1" s="215"/>
      <c r="V1" s="264"/>
    </row>
    <row r="2" spans="1:22" ht="19" thickBot="1" x14ac:dyDescent="0.4">
      <c r="A2" s="458"/>
      <c r="B2" s="458"/>
      <c r="C2" s="458"/>
      <c r="D2" s="458"/>
      <c r="E2" s="459"/>
      <c r="F2" s="386"/>
      <c r="G2" s="402"/>
      <c r="H2" s="50">
        <v>42736</v>
      </c>
      <c r="I2" s="50">
        <v>42767</v>
      </c>
      <c r="J2" s="50">
        <v>42798</v>
      </c>
      <c r="K2" s="50">
        <v>42829</v>
      </c>
      <c r="L2" s="50">
        <v>42860</v>
      </c>
      <c r="M2" s="50">
        <v>42891</v>
      </c>
      <c r="N2" s="50">
        <v>42922</v>
      </c>
      <c r="O2" s="50">
        <v>42953</v>
      </c>
      <c r="P2" s="50">
        <v>42984</v>
      </c>
      <c r="Q2" s="50">
        <v>43015</v>
      </c>
      <c r="R2" s="50">
        <v>43046</v>
      </c>
      <c r="S2" s="50">
        <v>43077</v>
      </c>
      <c r="U2" s="214"/>
      <c r="V2" s="264"/>
    </row>
    <row r="3" spans="1:22" ht="14.25" customHeight="1" thickBot="1" x14ac:dyDescent="0.4">
      <c r="A3" s="104"/>
      <c r="B3" s="105"/>
      <c r="C3" s="105"/>
      <c r="D3" s="105"/>
      <c r="E3" s="105"/>
      <c r="F3" s="206" t="s">
        <v>266</v>
      </c>
      <c r="G3" s="187"/>
      <c r="H3" s="154">
        <f>'Project Site Calendar'!I38</f>
        <v>0.4838709677419355</v>
      </c>
      <c r="I3" s="154">
        <f>'Project Site Calendar'!J38</f>
        <v>0.7857142857142857</v>
      </c>
      <c r="J3" s="154">
        <f>'Project Site Calendar'!K38</f>
        <v>0.74193548387096775</v>
      </c>
      <c r="K3" s="154">
        <f>'Project Site Calendar'!L38</f>
        <v>0.6333333333333333</v>
      </c>
      <c r="L3" s="154">
        <f>'Project Site Calendar'!M38</f>
        <v>0.80645161290322576</v>
      </c>
      <c r="M3" s="154">
        <f>'Project Site Calendar'!N38</f>
        <v>0.7</v>
      </c>
      <c r="N3" s="154">
        <f>'Project Site Calendar'!O38</f>
        <v>0.80645161290322576</v>
      </c>
      <c r="O3" s="154">
        <f>'Project Site Calendar'!P38</f>
        <v>0.77419354838709675</v>
      </c>
      <c r="P3" s="154">
        <f>'Project Site Calendar'!Q38</f>
        <v>0.76666666666666672</v>
      </c>
      <c r="Q3" s="154">
        <f>'Project Site Calendar'!R38</f>
        <v>0.83870967741935487</v>
      </c>
      <c r="R3" s="154">
        <f>'Project Site Calendar'!S38</f>
        <v>0.66666666666666663</v>
      </c>
      <c r="S3" s="154">
        <f>'Project Site Calendar'!T38</f>
        <v>0.38709677419354838</v>
      </c>
      <c r="U3" s="214"/>
      <c r="V3" s="264"/>
    </row>
    <row r="4" spans="1:22" ht="15" customHeight="1" x14ac:dyDescent="0.45">
      <c r="A4" s="378"/>
      <c r="B4" s="379"/>
      <c r="C4" s="379"/>
      <c r="D4" s="379"/>
      <c r="E4" s="379"/>
      <c r="F4" s="439"/>
      <c r="G4" s="440"/>
      <c r="H4" s="67"/>
      <c r="I4" s="68"/>
      <c r="J4" s="68"/>
      <c r="K4" s="68"/>
      <c r="L4" s="68"/>
      <c r="M4" s="68"/>
      <c r="N4" s="68"/>
      <c r="O4" s="68"/>
      <c r="P4" s="68"/>
      <c r="Q4" s="68"/>
      <c r="R4" s="68"/>
      <c r="S4" s="69"/>
      <c r="U4" s="450"/>
      <c r="V4" s="213" t="s">
        <v>171</v>
      </c>
    </row>
    <row r="5" spans="1:22" ht="15" customHeight="1" x14ac:dyDescent="0.35">
      <c r="A5" s="381" t="s">
        <v>224</v>
      </c>
      <c r="B5" s="382"/>
      <c r="C5" s="382"/>
      <c r="D5" s="382"/>
      <c r="E5" s="267">
        <v>0.4</v>
      </c>
      <c r="F5" s="439">
        <f t="shared" ref="F5:F12" si="0">SUM(H5:S5)</f>
        <v>1.1246543778801841</v>
      </c>
      <c r="G5" s="440"/>
      <c r="H5" s="70">
        <f>Climate!B12*$E$5*H$3</f>
        <v>0.38709677419354838</v>
      </c>
      <c r="I5" s="68">
        <f>Climate!C12*$E$5*I$3</f>
        <v>0.36142857142857138</v>
      </c>
      <c r="J5" s="68">
        <f>Climate!D12*$E$5*J$3</f>
        <v>0.13354838709677422</v>
      </c>
      <c r="K5" s="68">
        <f>Climate!E12*$E$5*K$3</f>
        <v>0</v>
      </c>
      <c r="L5" s="68">
        <f>Climate!F12*$E$5*L$3</f>
        <v>0</v>
      </c>
      <c r="M5" s="68">
        <f>Climate!G12*$E$5*M$3</f>
        <v>0</v>
      </c>
      <c r="N5" s="68">
        <f>Climate!H12*$E$5*N$3</f>
        <v>0</v>
      </c>
      <c r="O5" s="68">
        <f>Climate!I12*$E$5*O$3</f>
        <v>0</v>
      </c>
      <c r="P5" s="68">
        <f>Climate!J12*$E$5*P$3</f>
        <v>0</v>
      </c>
      <c r="Q5" s="68">
        <f>Climate!K12*$E$5*Q$3</f>
        <v>0</v>
      </c>
      <c r="R5" s="68">
        <f>Climate!L12*$E$5*R$3</f>
        <v>7.9999999999999988E-2</v>
      </c>
      <c r="S5" s="71">
        <f>Climate!M12*$E$5*S$3</f>
        <v>0.16258064516129034</v>
      </c>
      <c r="U5" s="451"/>
    </row>
    <row r="6" spans="1:22" ht="15" customHeight="1" x14ac:dyDescent="0.35">
      <c r="A6" s="381" t="s">
        <v>193</v>
      </c>
      <c r="B6" s="382"/>
      <c r="C6" s="382"/>
      <c r="D6" s="382"/>
      <c r="E6" s="267">
        <v>0.2</v>
      </c>
      <c r="F6" s="439">
        <f t="shared" si="0"/>
        <v>1.4218279569892474</v>
      </c>
      <c r="G6" s="440"/>
      <c r="H6" s="70">
        <f>Climate!B20*'Weather Calculation'!$E$6*H$3</f>
        <v>0</v>
      </c>
      <c r="I6" s="68">
        <f>Climate!C20*'Weather Calculation'!$E$6*I$3</f>
        <v>0</v>
      </c>
      <c r="J6" s="68">
        <f>Climate!D20*'Weather Calculation'!$E$6*J$3</f>
        <v>0</v>
      </c>
      <c r="K6" s="68">
        <f>Climate!E20*'Weather Calculation'!$E$6*K$3</f>
        <v>2.5333333333333336E-2</v>
      </c>
      <c r="L6" s="68">
        <f>Climate!F20*'Weather Calculation'!$E$6*L$3</f>
        <v>0.1129032258064516</v>
      </c>
      <c r="M6" s="68">
        <f>Climate!G20*'Weather Calculation'!$E$6*M$3</f>
        <v>0.36399999999999999</v>
      </c>
      <c r="N6" s="68">
        <f>Climate!H20*'Weather Calculation'!$E$6*N$3</f>
        <v>0.532258064516129</v>
      </c>
      <c r="O6" s="68">
        <f>Climate!I20*'Weather Calculation'!$E$6*O$3</f>
        <v>0.26322580645161292</v>
      </c>
      <c r="P6" s="68">
        <f>Climate!J20*'Weather Calculation'!$E$6*P$3</f>
        <v>0.10733333333333334</v>
      </c>
      <c r="Q6" s="68">
        <f>Climate!K20*'Weather Calculation'!$E$6*Q$3</f>
        <v>1.6774193548387099E-2</v>
      </c>
      <c r="R6" s="68">
        <f>Climate!L20*'Weather Calculation'!$E$6*R$3</f>
        <v>0</v>
      </c>
      <c r="S6" s="71">
        <f>Climate!M20*'Weather Calculation'!$E$6*S$3</f>
        <v>0</v>
      </c>
      <c r="U6" s="451"/>
      <c r="V6" s="431" t="s">
        <v>402</v>
      </c>
    </row>
    <row r="7" spans="1:22" ht="15" customHeight="1" x14ac:dyDescent="0.35">
      <c r="A7" s="366" t="s">
        <v>396</v>
      </c>
      <c r="B7" s="367"/>
      <c r="C7" s="367"/>
      <c r="D7" s="367"/>
      <c r="E7" s="367"/>
      <c r="F7" s="439">
        <f t="shared" si="0"/>
        <v>2</v>
      </c>
      <c r="G7" s="440"/>
      <c r="H7" s="72">
        <v>0.5</v>
      </c>
      <c r="I7" s="66"/>
      <c r="J7" s="66"/>
      <c r="K7" s="66"/>
      <c r="L7" s="66"/>
      <c r="M7" s="66"/>
      <c r="N7" s="66"/>
      <c r="O7" s="66"/>
      <c r="P7" s="66"/>
      <c r="Q7" s="66">
        <v>0.5</v>
      </c>
      <c r="R7" s="66">
        <v>0.5</v>
      </c>
      <c r="S7" s="73">
        <v>0.5</v>
      </c>
      <c r="U7" s="451"/>
      <c r="V7" s="432"/>
    </row>
    <row r="8" spans="1:22" ht="15" customHeight="1" x14ac:dyDescent="0.35">
      <c r="A8" s="366" t="s">
        <v>397</v>
      </c>
      <c r="B8" s="367"/>
      <c r="C8" s="367"/>
      <c r="D8" s="367"/>
      <c r="E8" s="367"/>
      <c r="F8" s="439">
        <f t="shared" si="0"/>
        <v>0</v>
      </c>
      <c r="G8" s="440"/>
      <c r="H8" s="72"/>
      <c r="I8" s="66"/>
      <c r="J8" s="66"/>
      <c r="K8" s="66"/>
      <c r="L8" s="66"/>
      <c r="M8" s="66"/>
      <c r="N8" s="66"/>
      <c r="O8" s="66"/>
      <c r="P8" s="66"/>
      <c r="Q8" s="66"/>
      <c r="R8" s="66"/>
      <c r="S8" s="73"/>
      <c r="U8" s="451"/>
      <c r="V8" s="432"/>
    </row>
    <row r="9" spans="1:22" ht="15" customHeight="1" x14ac:dyDescent="0.35">
      <c r="A9" s="366" t="s">
        <v>398</v>
      </c>
      <c r="B9" s="367"/>
      <c r="C9" s="367"/>
      <c r="D9" s="367"/>
      <c r="E9" s="367"/>
      <c r="F9" s="439">
        <f t="shared" si="0"/>
        <v>0</v>
      </c>
      <c r="G9" s="440"/>
      <c r="H9" s="72"/>
      <c r="I9" s="66"/>
      <c r="J9" s="66"/>
      <c r="K9" s="66"/>
      <c r="L9" s="66"/>
      <c r="M9" s="66"/>
      <c r="N9" s="66"/>
      <c r="O9" s="66"/>
      <c r="P9" s="66"/>
      <c r="Q9" s="66"/>
      <c r="R9" s="66"/>
      <c r="S9" s="73"/>
      <c r="U9" s="451"/>
      <c r="V9" s="433"/>
    </row>
    <row r="10" spans="1:22" ht="15" customHeight="1" x14ac:dyDescent="0.35">
      <c r="A10" s="366" t="s">
        <v>399</v>
      </c>
      <c r="B10" s="367"/>
      <c r="C10" s="367"/>
      <c r="D10" s="367"/>
      <c r="E10" s="367"/>
      <c r="F10" s="439">
        <f t="shared" si="0"/>
        <v>2</v>
      </c>
      <c r="G10" s="440"/>
      <c r="H10" s="72"/>
      <c r="I10" s="66"/>
      <c r="J10" s="66"/>
      <c r="K10" s="66">
        <v>0</v>
      </c>
      <c r="L10" s="66"/>
      <c r="M10" s="66">
        <v>0.5</v>
      </c>
      <c r="N10" s="66"/>
      <c r="O10" s="66">
        <v>0.5</v>
      </c>
      <c r="P10" s="66"/>
      <c r="Q10" s="66">
        <v>0.5</v>
      </c>
      <c r="R10" s="66"/>
      <c r="S10" s="73">
        <v>0.5</v>
      </c>
      <c r="U10" s="451"/>
      <c r="V10" s="434"/>
    </row>
    <row r="11" spans="1:22" ht="15" customHeight="1" x14ac:dyDescent="0.35">
      <c r="A11" s="366" t="s">
        <v>400</v>
      </c>
      <c r="B11" s="367"/>
      <c r="C11" s="367"/>
      <c r="D11" s="367"/>
      <c r="E11" s="367"/>
      <c r="F11" s="439">
        <f t="shared" si="0"/>
        <v>0</v>
      </c>
      <c r="G11" s="440"/>
      <c r="H11" s="72"/>
      <c r="I11" s="66"/>
      <c r="J11" s="66"/>
      <c r="K11" s="66"/>
      <c r="L11" s="66"/>
      <c r="M11" s="66"/>
      <c r="N11" s="66"/>
      <c r="O11" s="66"/>
      <c r="P11" s="66"/>
      <c r="Q11" s="66"/>
      <c r="R11" s="66"/>
      <c r="S11" s="73"/>
      <c r="U11" s="216"/>
      <c r="V11" s="431" t="s">
        <v>268</v>
      </c>
    </row>
    <row r="12" spans="1:22" ht="15" customHeight="1" thickBot="1" x14ac:dyDescent="0.4">
      <c r="A12" s="370" t="s">
        <v>401</v>
      </c>
      <c r="B12" s="371"/>
      <c r="C12" s="371"/>
      <c r="D12" s="371"/>
      <c r="E12" s="371"/>
      <c r="F12" s="439">
        <f t="shared" si="0"/>
        <v>0</v>
      </c>
      <c r="G12" s="440"/>
      <c r="H12" s="74"/>
      <c r="I12" s="75"/>
      <c r="J12" s="75"/>
      <c r="K12" s="76"/>
      <c r="L12" s="76"/>
      <c r="M12" s="76"/>
      <c r="N12" s="76"/>
      <c r="O12" s="76"/>
      <c r="P12" s="76"/>
      <c r="Q12" s="76"/>
      <c r="R12" s="76"/>
      <c r="S12" s="77"/>
      <c r="U12" s="450"/>
      <c r="V12" s="432"/>
    </row>
    <row r="13" spans="1:22" ht="15" customHeight="1" thickBot="1" x14ac:dyDescent="0.4">
      <c r="A13" s="376" t="s">
        <v>156</v>
      </c>
      <c r="B13" s="376"/>
      <c r="C13" s="376"/>
      <c r="D13" s="376"/>
      <c r="E13" s="376"/>
      <c r="F13" s="441">
        <f>SUM(H13:S13)</f>
        <v>6.546482334869431</v>
      </c>
      <c r="G13" s="442"/>
      <c r="H13" s="207">
        <f>SUM(H5:H12)+H4</f>
        <v>0.88709677419354838</v>
      </c>
      <c r="I13" s="207">
        <f t="shared" ref="I13:S13" si="1">SUM(I5:I12)+I4</f>
        <v>0.36142857142857138</v>
      </c>
      <c r="J13" s="207">
        <f t="shared" si="1"/>
        <v>0.13354838709677422</v>
      </c>
      <c r="K13" s="207">
        <f t="shared" si="1"/>
        <v>2.5333333333333336E-2</v>
      </c>
      <c r="L13" s="207">
        <f t="shared" si="1"/>
        <v>0.1129032258064516</v>
      </c>
      <c r="M13" s="207">
        <f t="shared" si="1"/>
        <v>0.86399999999999999</v>
      </c>
      <c r="N13" s="207">
        <f t="shared" si="1"/>
        <v>0.532258064516129</v>
      </c>
      <c r="O13" s="207">
        <f t="shared" si="1"/>
        <v>0.76322580645161286</v>
      </c>
      <c r="P13" s="207">
        <f t="shared" si="1"/>
        <v>0.10733333333333334</v>
      </c>
      <c r="Q13" s="207">
        <f t="shared" si="1"/>
        <v>1.0167741935483869</v>
      </c>
      <c r="R13" s="207">
        <f t="shared" si="1"/>
        <v>0.57999999999999996</v>
      </c>
      <c r="S13" s="207">
        <f t="shared" si="1"/>
        <v>1.1625806451612903</v>
      </c>
      <c r="U13" s="451"/>
      <c r="V13" s="432"/>
    </row>
    <row r="14" spans="1:22" ht="15" customHeight="1" thickBot="1" x14ac:dyDescent="0.4">
      <c r="A14" s="436" t="s">
        <v>223</v>
      </c>
      <c r="B14" s="436"/>
      <c r="C14" s="436"/>
      <c r="D14" s="436"/>
      <c r="E14" s="436"/>
      <c r="F14" s="437">
        <f>+F13/'Project Site Calendar'!U37</f>
        <v>2.5672479744586005E-2</v>
      </c>
      <c r="G14" s="438"/>
      <c r="H14" s="211">
        <f>+H13/'Project Site Calendar'!I37</f>
        <v>5.9139784946236555E-2</v>
      </c>
      <c r="I14" s="211">
        <f>+I13/'Project Site Calendar'!J37</f>
        <v>1.6428571428571428E-2</v>
      </c>
      <c r="J14" s="211">
        <f>+J13/'Project Site Calendar'!K37</f>
        <v>5.8064516129032271E-3</v>
      </c>
      <c r="K14" s="211">
        <f>+K13/'Project Site Calendar'!L37</f>
        <v>1.3333333333333335E-3</v>
      </c>
      <c r="L14" s="211">
        <f>+L13/'Project Site Calendar'!M37</f>
        <v>4.5161290322580641E-3</v>
      </c>
      <c r="M14" s="211">
        <f>+M13/'Project Site Calendar'!N37</f>
        <v>4.1142857142857141E-2</v>
      </c>
      <c r="N14" s="211">
        <f>+N13/'Project Site Calendar'!O37</f>
        <v>2.1290322580645161E-2</v>
      </c>
      <c r="O14" s="211">
        <f>+O13/'Project Site Calendar'!P37</f>
        <v>3.1801075268817203E-2</v>
      </c>
      <c r="P14" s="211">
        <f>+P13/'Project Site Calendar'!Q37</f>
        <v>4.6666666666666671E-3</v>
      </c>
      <c r="Q14" s="211">
        <f>+Q13/'Project Site Calendar'!R37</f>
        <v>3.9106699751861033E-2</v>
      </c>
      <c r="R14" s="211">
        <f>+R13/'Project Site Calendar'!S37</f>
        <v>2.8999999999999998E-2</v>
      </c>
      <c r="S14" s="211">
        <f>+S13/'Project Site Calendar'!T37</f>
        <v>9.6881720430107524E-2</v>
      </c>
      <c r="U14" s="451"/>
      <c r="V14" s="433"/>
    </row>
    <row r="15" spans="1:22" ht="15" customHeight="1" thickBot="1" x14ac:dyDescent="0.4">
      <c r="A15" s="374" t="s">
        <v>157</v>
      </c>
      <c r="B15" s="374"/>
      <c r="C15" s="374"/>
      <c r="D15" s="374"/>
      <c r="E15" s="374"/>
      <c r="F15" s="374"/>
      <c r="G15" s="435"/>
      <c r="H15" s="146">
        <f>G15+H13</f>
        <v>0.88709677419354838</v>
      </c>
      <c r="I15" s="146">
        <f t="shared" ref="I15:S15" si="2">H15+I13</f>
        <v>1.2485253456221197</v>
      </c>
      <c r="J15" s="146">
        <f t="shared" si="2"/>
        <v>1.3820737327188939</v>
      </c>
      <c r="K15" s="146">
        <f t="shared" si="2"/>
        <v>1.4074070660522273</v>
      </c>
      <c r="L15" s="146">
        <f t="shared" si="2"/>
        <v>1.5203102918586788</v>
      </c>
      <c r="M15" s="146">
        <f t="shared" si="2"/>
        <v>2.3843102918586787</v>
      </c>
      <c r="N15" s="146">
        <f t="shared" si="2"/>
        <v>2.9165683563748077</v>
      </c>
      <c r="O15" s="146">
        <f t="shared" si="2"/>
        <v>3.6797941628264206</v>
      </c>
      <c r="P15" s="146">
        <f t="shared" si="2"/>
        <v>3.7871274961597541</v>
      </c>
      <c r="Q15" s="146">
        <f t="shared" si="2"/>
        <v>4.803901689708141</v>
      </c>
      <c r="R15" s="146">
        <f t="shared" si="2"/>
        <v>5.3839016897081411</v>
      </c>
      <c r="S15" s="146">
        <f t="shared" si="2"/>
        <v>6.546482334869431</v>
      </c>
      <c r="V15" s="433"/>
    </row>
    <row r="16" spans="1:22" ht="15" customHeight="1" thickBot="1" x14ac:dyDescent="0.4">
      <c r="A16" s="375" t="s">
        <v>30</v>
      </c>
      <c r="B16" s="375"/>
      <c r="C16" s="375"/>
      <c r="D16" s="375"/>
      <c r="E16" s="375"/>
      <c r="F16" s="375"/>
      <c r="G16" s="375"/>
      <c r="H16" s="11"/>
      <c r="I16" s="11"/>
      <c r="J16" s="11"/>
      <c r="K16" s="364"/>
      <c r="L16" s="364"/>
      <c r="M16" s="364"/>
      <c r="N16" s="364"/>
      <c r="O16" s="364"/>
      <c r="P16" s="364"/>
      <c r="Q16" s="364"/>
      <c r="R16" s="364"/>
      <c r="S16" s="364"/>
      <c r="V16" s="433"/>
    </row>
    <row r="17" spans="1:22" ht="15" customHeight="1" thickBot="1" x14ac:dyDescent="0.4">
      <c r="A17" s="375"/>
      <c r="B17" s="375"/>
      <c r="C17" s="375"/>
      <c r="D17" s="375"/>
      <c r="E17" s="375"/>
      <c r="F17" s="375"/>
      <c r="G17" s="375"/>
      <c r="H17" s="11"/>
      <c r="I17" s="11"/>
      <c r="J17" s="11"/>
      <c r="K17" s="364"/>
      <c r="L17" s="364"/>
      <c r="M17" s="364"/>
      <c r="N17" s="364"/>
      <c r="O17" s="364"/>
      <c r="P17" s="364"/>
      <c r="Q17" s="364"/>
      <c r="R17" s="364"/>
      <c r="S17" s="364"/>
      <c r="V17" s="433"/>
    </row>
    <row r="18" spans="1:22" ht="15" customHeight="1" thickBot="1" x14ac:dyDescent="0.4">
      <c r="A18" s="12"/>
      <c r="B18" s="13"/>
      <c r="C18" s="13"/>
      <c r="D18" s="13"/>
      <c r="E18" s="13"/>
      <c r="F18" s="13"/>
      <c r="G18" s="13"/>
      <c r="H18" s="14"/>
      <c r="I18" s="14"/>
      <c r="J18" s="14"/>
      <c r="K18" s="14"/>
      <c r="L18" s="14"/>
      <c r="M18" s="14"/>
      <c r="N18" s="14"/>
      <c r="O18" s="14"/>
      <c r="P18" s="14"/>
      <c r="Q18" s="14"/>
      <c r="R18" s="14"/>
      <c r="S18" s="14"/>
      <c r="V18" s="434"/>
    </row>
    <row r="19" spans="1:22" ht="19" thickBot="1" x14ac:dyDescent="0.4">
      <c r="A19" s="21"/>
      <c r="B19" s="22"/>
      <c r="C19" s="22"/>
      <c r="D19" s="22"/>
      <c r="E19" s="22"/>
      <c r="F19" s="22"/>
      <c r="G19" s="25"/>
      <c r="H19" s="180">
        <v>1</v>
      </c>
      <c r="I19" s="180">
        <f t="shared" ref="I19:S19" si="3">+H19+1</f>
        <v>2</v>
      </c>
      <c r="J19" s="180">
        <f t="shared" si="3"/>
        <v>3</v>
      </c>
      <c r="K19" s="180">
        <f t="shared" si="3"/>
        <v>4</v>
      </c>
      <c r="L19" s="180">
        <f t="shared" si="3"/>
        <v>5</v>
      </c>
      <c r="M19" s="180">
        <f t="shared" si="3"/>
        <v>6</v>
      </c>
      <c r="N19" s="180">
        <f t="shared" si="3"/>
        <v>7</v>
      </c>
      <c r="O19" s="180">
        <f t="shared" si="3"/>
        <v>8</v>
      </c>
      <c r="P19" s="180">
        <f t="shared" si="3"/>
        <v>9</v>
      </c>
      <c r="Q19" s="180">
        <f t="shared" si="3"/>
        <v>10</v>
      </c>
      <c r="R19" s="180">
        <f t="shared" si="3"/>
        <v>11</v>
      </c>
      <c r="S19" s="180">
        <f t="shared" si="3"/>
        <v>12</v>
      </c>
      <c r="V19" s="212"/>
    </row>
    <row r="20" spans="1:22" ht="18.5" x14ac:dyDescent="0.35">
      <c r="A20" s="21"/>
      <c r="B20" s="22"/>
      <c r="C20" s="22"/>
      <c r="D20" s="22"/>
      <c r="E20" s="22"/>
      <c r="F20" s="22"/>
      <c r="G20" s="178" t="s">
        <v>17</v>
      </c>
      <c r="H20" s="174" t="str">
        <f>Climate!B193</f>
        <v>Low</v>
      </c>
      <c r="I20" s="174" t="str">
        <f>Climate!C193</f>
        <v>Low</v>
      </c>
      <c r="J20" s="174" t="str">
        <f>Climate!D193</f>
        <v>Low</v>
      </c>
      <c r="K20" s="174" t="str">
        <f>Climate!E193</f>
        <v>Med</v>
      </c>
      <c r="L20" s="174" t="str">
        <f>Climate!F193</f>
        <v>Med</v>
      </c>
      <c r="M20" s="174" t="str">
        <f>Climate!G193</f>
        <v>Med</v>
      </c>
      <c r="N20" s="174" t="str">
        <f>Climate!H193</f>
        <v>Med</v>
      </c>
      <c r="O20" s="174" t="str">
        <f>Climate!I193</f>
        <v>Med</v>
      </c>
      <c r="P20" s="174" t="str">
        <f>Climate!J193</f>
        <v>Med</v>
      </c>
      <c r="Q20" s="174" t="str">
        <f>Climate!K193</f>
        <v>Med</v>
      </c>
      <c r="R20" s="174" t="str">
        <f>Climate!L193</f>
        <v>Med</v>
      </c>
      <c r="S20" s="174" t="str">
        <f>Climate!M193</f>
        <v>Med</v>
      </c>
      <c r="V20" s="212"/>
    </row>
    <row r="21" spans="1:22" ht="18.5" x14ac:dyDescent="0.35">
      <c r="A21" s="21"/>
      <c r="B21" s="22"/>
      <c r="C21" s="22"/>
      <c r="D21" s="173"/>
      <c r="E21" s="22"/>
      <c r="F21" s="22"/>
      <c r="G21" s="179" t="s">
        <v>18</v>
      </c>
      <c r="H21" s="175" t="str">
        <f>Climate!B154</f>
        <v>High</v>
      </c>
      <c r="I21" s="175" t="str">
        <f>Climate!C154</f>
        <v>High</v>
      </c>
      <c r="J21" s="175" t="str">
        <f>Climate!D154</f>
        <v>Med</v>
      </c>
      <c r="K21" s="175" t="str">
        <f>Climate!E154</f>
        <v>Med</v>
      </c>
      <c r="L21" s="175" t="str">
        <f>Climate!F154</f>
        <v>Low</v>
      </c>
      <c r="M21" s="175" t="str">
        <f>Climate!G154</f>
        <v>Low</v>
      </c>
      <c r="N21" s="175" t="str">
        <f>Climate!H154</f>
        <v>Low</v>
      </c>
      <c r="O21" s="175" t="str">
        <f>Climate!I154</f>
        <v>Low</v>
      </c>
      <c r="P21" s="175" t="str">
        <f>Climate!J154</f>
        <v>Low</v>
      </c>
      <c r="Q21" s="175" t="str">
        <f>Climate!K154</f>
        <v>Med</v>
      </c>
      <c r="R21" s="175" t="str">
        <f>Climate!L154</f>
        <v>Med</v>
      </c>
      <c r="S21" s="175" t="str">
        <f>Climate!M154</f>
        <v>Med</v>
      </c>
      <c r="V21" s="212"/>
    </row>
    <row r="22" spans="1:22" ht="18.5" x14ac:dyDescent="0.35">
      <c r="A22" s="21"/>
      <c r="B22" s="22"/>
      <c r="C22" s="22"/>
      <c r="D22" s="22"/>
      <c r="E22" s="22"/>
      <c r="F22" s="22"/>
      <c r="G22" s="179" t="s">
        <v>19</v>
      </c>
      <c r="H22" s="175" t="str">
        <f>Climate!B174</f>
        <v>Low</v>
      </c>
      <c r="I22" s="175" t="str">
        <f>Climate!C174</f>
        <v>Low</v>
      </c>
      <c r="J22" s="175" t="str">
        <f>Climate!D174</f>
        <v>Med</v>
      </c>
      <c r="K22" s="175" t="str">
        <f>Climate!E174</f>
        <v>High</v>
      </c>
      <c r="L22" s="175" t="str">
        <f>Climate!F174</f>
        <v>High</v>
      </c>
      <c r="M22" s="175" t="str">
        <f>Climate!G174</f>
        <v>High</v>
      </c>
      <c r="N22" s="175" t="str">
        <f>Climate!H174</f>
        <v>High</v>
      </c>
      <c r="O22" s="175" t="str">
        <f>Climate!I174</f>
        <v>High</v>
      </c>
      <c r="P22" s="175" t="str">
        <f>Climate!J174</f>
        <v>High</v>
      </c>
      <c r="Q22" s="175" t="str">
        <f>Climate!K174</f>
        <v>High</v>
      </c>
      <c r="R22" s="175" t="str">
        <f>Climate!L174</f>
        <v>Med</v>
      </c>
      <c r="S22" s="175" t="str">
        <f>Climate!M174</f>
        <v>High</v>
      </c>
      <c r="V22" s="212"/>
    </row>
    <row r="23" spans="1:22" ht="19" thickBot="1" x14ac:dyDescent="0.4">
      <c r="A23" s="21"/>
      <c r="B23" s="22"/>
      <c r="C23" s="22"/>
      <c r="D23" s="22"/>
      <c r="E23" s="22"/>
      <c r="F23" s="22"/>
      <c r="G23" s="179" t="s">
        <v>20</v>
      </c>
      <c r="H23" s="176" t="str">
        <f>Climate!B210</f>
        <v>Med</v>
      </c>
      <c r="I23" s="176" t="str">
        <f>Climate!C210</f>
        <v>Med</v>
      </c>
      <c r="J23" s="176" t="str">
        <f>Climate!D210</f>
        <v>Med</v>
      </c>
      <c r="K23" s="176" t="str">
        <f>Climate!E210</f>
        <v>Low</v>
      </c>
      <c r="L23" s="176" t="str">
        <f>Climate!F210</f>
        <v>Low</v>
      </c>
      <c r="M23" s="176" t="str">
        <f>Climate!G210</f>
        <v>Low</v>
      </c>
      <c r="N23" s="176" t="str">
        <f>Climate!H210</f>
        <v>Med</v>
      </c>
      <c r="O23" s="176" t="str">
        <f>Climate!I210</f>
        <v>Med</v>
      </c>
      <c r="P23" s="176" t="str">
        <f>Climate!J210</f>
        <v>Med</v>
      </c>
      <c r="Q23" s="176" t="str">
        <f>Climate!K210</f>
        <v>Med</v>
      </c>
      <c r="R23" s="176" t="str">
        <f>Climate!L210</f>
        <v>Med</v>
      </c>
      <c r="S23" s="176" t="str">
        <f>Climate!M210</f>
        <v>Med</v>
      </c>
      <c r="V23" s="212"/>
    </row>
    <row r="24" spans="1:22" ht="19" thickBot="1" x14ac:dyDescent="0.4">
      <c r="A24" s="21"/>
      <c r="B24" s="22"/>
      <c r="C24" s="22"/>
      <c r="D24" s="22"/>
      <c r="E24" s="22"/>
      <c r="F24" s="22"/>
      <c r="G24" s="22"/>
      <c r="H24" s="22"/>
      <c r="I24" s="22"/>
      <c r="J24" s="22"/>
      <c r="K24" s="22"/>
      <c r="L24" s="22"/>
      <c r="M24" s="22"/>
      <c r="N24" s="22"/>
      <c r="O24" s="22"/>
      <c r="P24" s="22"/>
      <c r="Q24" s="22"/>
      <c r="R24" s="22"/>
      <c r="S24" s="22"/>
      <c r="V24" s="212"/>
    </row>
    <row r="25" spans="1:22" ht="15" thickBot="1" x14ac:dyDescent="0.4">
      <c r="A25" s="386" t="s">
        <v>32</v>
      </c>
      <c r="B25" s="386"/>
      <c r="C25" s="386"/>
      <c r="D25" s="386"/>
      <c r="E25" s="386"/>
      <c r="F25" s="386" t="s">
        <v>22</v>
      </c>
      <c r="G25" s="386"/>
      <c r="H25" s="452"/>
      <c r="I25" s="453"/>
      <c r="J25" s="453"/>
      <c r="K25" s="453"/>
      <c r="L25" s="453"/>
      <c r="M25" s="453"/>
      <c r="N25" s="453"/>
      <c r="O25" s="453"/>
      <c r="P25" s="453"/>
      <c r="Q25" s="453"/>
      <c r="R25" s="453"/>
      <c r="S25" s="454"/>
      <c r="V25" s="431" t="s">
        <v>276</v>
      </c>
    </row>
    <row r="26" spans="1:22" ht="15" thickBot="1" x14ac:dyDescent="0.4">
      <c r="A26" s="386"/>
      <c r="B26" s="386"/>
      <c r="C26" s="386"/>
      <c r="D26" s="386"/>
      <c r="E26" s="386"/>
      <c r="F26" s="386"/>
      <c r="G26" s="386"/>
      <c r="H26" s="186">
        <v>1</v>
      </c>
      <c r="I26" s="186">
        <f>+H26+1</f>
        <v>2</v>
      </c>
      <c r="J26" s="186">
        <f t="shared" ref="J26:S26" si="4">+I26+1</f>
        <v>3</v>
      </c>
      <c r="K26" s="186">
        <f t="shared" si="4"/>
        <v>4</v>
      </c>
      <c r="L26" s="186">
        <f t="shared" si="4"/>
        <v>5</v>
      </c>
      <c r="M26" s="186">
        <f t="shared" si="4"/>
        <v>6</v>
      </c>
      <c r="N26" s="186">
        <f t="shared" si="4"/>
        <v>7</v>
      </c>
      <c r="O26" s="186">
        <f t="shared" si="4"/>
        <v>8</v>
      </c>
      <c r="P26" s="186">
        <f t="shared" si="4"/>
        <v>9</v>
      </c>
      <c r="Q26" s="186">
        <f t="shared" si="4"/>
        <v>10</v>
      </c>
      <c r="R26" s="186">
        <f t="shared" si="4"/>
        <v>11</v>
      </c>
      <c r="S26" s="186">
        <f t="shared" si="4"/>
        <v>12</v>
      </c>
      <c r="V26" s="432"/>
    </row>
    <row r="27" spans="1:22" ht="29.25" customHeight="1" thickBot="1" x14ac:dyDescent="0.4">
      <c r="A27" s="460" t="s">
        <v>33</v>
      </c>
      <c r="B27" s="461"/>
      <c r="C27" s="461"/>
      <c r="D27" s="461"/>
      <c r="E27" s="461"/>
      <c r="F27" s="462">
        <f>SUM(H27:S27)</f>
        <v>255</v>
      </c>
      <c r="G27" s="462"/>
      <c r="H27" s="120">
        <f>+'Project Site Calendar'!I37</f>
        <v>15</v>
      </c>
      <c r="I27" s="120">
        <f>+'Project Site Calendar'!J37</f>
        <v>22</v>
      </c>
      <c r="J27" s="120">
        <f>+'Project Site Calendar'!K37</f>
        <v>23</v>
      </c>
      <c r="K27" s="120">
        <f>+'Project Site Calendar'!L37</f>
        <v>19</v>
      </c>
      <c r="L27" s="120">
        <f>+'Project Site Calendar'!M37</f>
        <v>25</v>
      </c>
      <c r="M27" s="120">
        <f>+'Project Site Calendar'!N37</f>
        <v>21</v>
      </c>
      <c r="N27" s="120">
        <f>+'Project Site Calendar'!O37</f>
        <v>25</v>
      </c>
      <c r="O27" s="120">
        <f>+'Project Site Calendar'!P37</f>
        <v>24</v>
      </c>
      <c r="P27" s="120">
        <f>+'Project Site Calendar'!Q37</f>
        <v>23</v>
      </c>
      <c r="Q27" s="120">
        <f>+'Project Site Calendar'!R37</f>
        <v>26</v>
      </c>
      <c r="R27" s="120">
        <f>+'Project Site Calendar'!S37</f>
        <v>20</v>
      </c>
      <c r="S27" s="120">
        <f>+'Project Site Calendar'!T37</f>
        <v>12</v>
      </c>
      <c r="V27" s="432"/>
    </row>
    <row r="28" spans="1:22" ht="15" thickBot="1" x14ac:dyDescent="0.4">
      <c r="A28" s="461" t="s">
        <v>403</v>
      </c>
      <c r="B28" s="461"/>
      <c r="C28" s="461"/>
      <c r="D28" s="461"/>
      <c r="E28" s="461"/>
      <c r="F28" s="461"/>
      <c r="G28" s="461"/>
      <c r="H28" s="121">
        <f>H27</f>
        <v>15</v>
      </c>
      <c r="I28" s="122">
        <f t="shared" ref="I28" si="5">H28+I27</f>
        <v>37</v>
      </c>
      <c r="J28" s="122">
        <f t="shared" ref="J28" si="6">I28+J27</f>
        <v>60</v>
      </c>
      <c r="K28" s="122">
        <f t="shared" ref="K28" si="7">J28+K27</f>
        <v>79</v>
      </c>
      <c r="L28" s="122">
        <f t="shared" ref="L28" si="8">K28+L27</f>
        <v>104</v>
      </c>
      <c r="M28" s="122">
        <f t="shared" ref="M28" si="9">L28+M27</f>
        <v>125</v>
      </c>
      <c r="N28" s="122">
        <f t="shared" ref="N28" si="10">M28+N27</f>
        <v>150</v>
      </c>
      <c r="O28" s="122">
        <f t="shared" ref="O28" si="11">N28+O27</f>
        <v>174</v>
      </c>
      <c r="P28" s="122">
        <f t="shared" ref="P28" si="12">O28+P27</f>
        <v>197</v>
      </c>
      <c r="Q28" s="122">
        <f t="shared" ref="Q28" si="13">P28+Q27</f>
        <v>223</v>
      </c>
      <c r="R28" s="122">
        <f t="shared" ref="R28" si="14">Q28+R27</f>
        <v>243</v>
      </c>
      <c r="S28" s="122">
        <f t="shared" ref="S28" si="15">R28+S27</f>
        <v>255</v>
      </c>
      <c r="V28" s="449"/>
    </row>
    <row r="29" spans="1:22" x14ac:dyDescent="0.35">
      <c r="A29" s="1"/>
      <c r="H29" s="23"/>
      <c r="I29" s="23"/>
      <c r="J29" s="23"/>
      <c r="K29" s="23"/>
      <c r="L29" s="23"/>
      <c r="M29" s="23"/>
      <c r="N29" s="23"/>
      <c r="O29" s="23"/>
      <c r="P29" s="23"/>
      <c r="Q29" s="23"/>
      <c r="R29" s="23"/>
      <c r="S29" s="23"/>
    </row>
    <row r="30" spans="1:22" ht="15" thickBot="1" x14ac:dyDescent="0.4"/>
    <row r="31" spans="1:22" ht="15" outlineLevel="1" thickBot="1" x14ac:dyDescent="0.4">
      <c r="A31" s="168"/>
      <c r="B31" s="226"/>
      <c r="C31" s="226"/>
      <c r="D31" s="226"/>
      <c r="E31" s="226"/>
      <c r="F31" s="226"/>
      <c r="G31" s="226"/>
      <c r="H31" s="226"/>
      <c r="I31" s="226"/>
      <c r="J31" s="226"/>
      <c r="K31" s="226"/>
      <c r="L31" s="226"/>
      <c r="M31" s="226"/>
      <c r="N31" s="226"/>
      <c r="O31" s="226"/>
      <c r="P31" s="226"/>
      <c r="Q31" s="226"/>
      <c r="R31" s="226"/>
      <c r="S31" s="226"/>
    </row>
    <row r="32" spans="1:22" ht="15" outlineLevel="1" thickBot="1" x14ac:dyDescent="0.4">
      <c r="A32" s="168" t="s">
        <v>59</v>
      </c>
      <c r="B32" s="230" t="s">
        <v>114</v>
      </c>
      <c r="C32" s="231" t="s">
        <v>115</v>
      </c>
      <c r="D32" s="230" t="s">
        <v>116</v>
      </c>
      <c r="E32" s="128"/>
      <c r="F32" s="445"/>
      <c r="G32" s="446"/>
      <c r="H32" s="238"/>
      <c r="I32" s="239"/>
      <c r="J32" s="239"/>
      <c r="K32" s="239"/>
      <c r="L32" s="239"/>
      <c r="M32" s="239"/>
      <c r="N32" s="239"/>
      <c r="O32" s="239"/>
      <c r="P32" s="239"/>
      <c r="Q32" s="239"/>
      <c r="R32" s="239"/>
      <c r="S32" s="240"/>
    </row>
    <row r="33" spans="1:22" ht="15" outlineLevel="1" thickBot="1" x14ac:dyDescent="0.4">
      <c r="A33" s="51" t="s">
        <v>110</v>
      </c>
      <c r="B33" s="55">
        <f>'Rain+Other Factors'!C8</f>
        <v>0</v>
      </c>
      <c r="C33" s="55">
        <f>'Rain+Other Factors'!D8</f>
        <v>0</v>
      </c>
      <c r="D33" s="56">
        <f>SUM(B33:C33)</f>
        <v>0</v>
      </c>
      <c r="E33" s="99"/>
      <c r="F33" s="443">
        <f>SUM(H33:S33)</f>
        <v>0</v>
      </c>
      <c r="G33" s="444"/>
      <c r="H33" s="241">
        <f>+Climate!B35*$D33*HoursPerDayRatio*H$3</f>
        <v>0</v>
      </c>
      <c r="I33" s="242">
        <f>+Climate!C35*$D33*HoursPerDayRatio*I$3</f>
        <v>0</v>
      </c>
      <c r="J33" s="242">
        <f>+Climate!D35*$D33*HoursPerDayRatio*J$3</f>
        <v>0</v>
      </c>
      <c r="K33" s="242">
        <f>+Climate!E35*$D33*HoursPerDayRatio*K$3</f>
        <v>0</v>
      </c>
      <c r="L33" s="242">
        <f>+Climate!F35*$D33*HoursPerDayRatio*L$3</f>
        <v>0</v>
      </c>
      <c r="M33" s="242">
        <f>+Climate!G35*$D33*HoursPerDayRatio*M$3</f>
        <v>0</v>
      </c>
      <c r="N33" s="242">
        <f>+Climate!H35*$D33*HoursPerDayRatio*N$3</f>
        <v>0</v>
      </c>
      <c r="O33" s="242">
        <f>+Climate!I35*$D33*HoursPerDayRatio*O$3</f>
        <v>0</v>
      </c>
      <c r="P33" s="242">
        <f>+Climate!J35*$D33*HoursPerDayRatio*P$3</f>
        <v>0</v>
      </c>
      <c r="Q33" s="242">
        <f>+Climate!K35*$D33*HoursPerDayRatio*Q$3</f>
        <v>0</v>
      </c>
      <c r="R33" s="242">
        <f>+Climate!L35*$D33*HoursPerDayRatio*R$3</f>
        <v>0</v>
      </c>
      <c r="S33" s="243">
        <f>+Climate!M35*$D33*HoursPerDayRatio*S$3</f>
        <v>0</v>
      </c>
    </row>
    <row r="34" spans="1:22" ht="15" outlineLevel="1" thickBot="1" x14ac:dyDescent="0.4">
      <c r="A34" s="52" t="s">
        <v>213</v>
      </c>
      <c r="B34" s="55">
        <f>'Rain+Other Factors'!C9</f>
        <v>0.5</v>
      </c>
      <c r="C34" s="55">
        <f>'Rain+Other Factors'!D9</f>
        <v>1</v>
      </c>
      <c r="D34" s="56">
        <f t="shared" ref="D34:D36" si="16">SUM(B34:C34)</f>
        <v>1.5</v>
      </c>
      <c r="E34" s="24"/>
      <c r="F34" s="439">
        <f>SUM(H34:S34)</f>
        <v>33.797790898617507</v>
      </c>
      <c r="G34" s="440"/>
      <c r="H34" s="67">
        <f>+Climate!B37*$D34*HoursPerDayRatio*H$3</f>
        <v>1.088709677419355</v>
      </c>
      <c r="I34" s="68">
        <f>+Climate!C37*$D34*HoursPerDayRatio*I$3</f>
        <v>1.3700892857142859</v>
      </c>
      <c r="J34" s="68">
        <f>+Climate!D37*$D34*HoursPerDayRatio*J$3</f>
        <v>1.8362903225806453</v>
      </c>
      <c r="K34" s="68">
        <f>+Climate!E37*$D34*HoursPerDayRatio*K$3</f>
        <v>2.2443749999999998</v>
      </c>
      <c r="L34" s="68">
        <f>+Climate!F37*$D34*HoursPerDayRatio*L$3</f>
        <v>3.9919354838709675</v>
      </c>
      <c r="M34" s="68">
        <f>+Climate!G37*$D34*HoursPerDayRatio*M$3</f>
        <v>3.2681249999999999</v>
      </c>
      <c r="N34" s="68">
        <f>+Climate!H37*$D34*HoursPerDayRatio*N$3</f>
        <v>4.536290322580645</v>
      </c>
      <c r="O34" s="68">
        <f>+Climate!I37*$D34*HoursPerDayRatio*O$3</f>
        <v>4.5290322580645164</v>
      </c>
      <c r="P34" s="68">
        <f>+Climate!J37*$D34*HoursPerDayRatio*P$3</f>
        <v>3.7087499999999998</v>
      </c>
      <c r="Q34" s="68">
        <f>+Climate!K37*$D34*HoursPerDayRatio*Q$3</f>
        <v>3.6326612903225812</v>
      </c>
      <c r="R34" s="68">
        <f>+Climate!L37*$D34*HoursPerDayRatio*R$3</f>
        <v>2.4375</v>
      </c>
      <c r="S34" s="69">
        <f>+Climate!M37*$D34*HoursPerDayRatio*S$3</f>
        <v>1.1540322580645161</v>
      </c>
    </row>
    <row r="35" spans="1:22" ht="15" outlineLevel="1" thickBot="1" x14ac:dyDescent="0.4">
      <c r="A35" s="52" t="s">
        <v>214</v>
      </c>
      <c r="B35" s="55">
        <f>'Rain+Other Factors'!C10</f>
        <v>1</v>
      </c>
      <c r="C35" s="55">
        <f>'Rain+Other Factors'!D10</f>
        <v>1</v>
      </c>
      <c r="D35" s="56">
        <f t="shared" si="16"/>
        <v>2</v>
      </c>
      <c r="E35" s="24"/>
      <c r="F35" s="439">
        <f>SUM(H35:S35)</f>
        <v>9.1095506912442392</v>
      </c>
      <c r="G35" s="440"/>
      <c r="H35" s="67">
        <f>+Climate!B39*$D35*HoursPerDayRatio*H$3</f>
        <v>0.39919354838709675</v>
      </c>
      <c r="I35" s="68">
        <f>+Climate!C39*$D35*HoursPerDayRatio*I$3</f>
        <v>0.53035714285714275</v>
      </c>
      <c r="J35" s="68">
        <f>+Climate!D39*$D35*HoursPerDayRatio*J$3</f>
        <v>0.66774193548387095</v>
      </c>
      <c r="K35" s="68">
        <f>+Climate!E39*$D35*HoursPerDayRatio*K$3</f>
        <v>0.61750000000000005</v>
      </c>
      <c r="L35" s="68">
        <f>+Climate!F39*$D35*HoursPerDayRatio*L$3</f>
        <v>1.0887096774193548</v>
      </c>
      <c r="M35" s="68">
        <f>+Climate!G39*$D35*HoursPerDayRatio*M$3</f>
        <v>0.73499999999999988</v>
      </c>
      <c r="N35" s="68">
        <f>+Climate!H39*$D35*HoursPerDayRatio*N$3</f>
        <v>0.72580645161290314</v>
      </c>
      <c r="O35" s="68">
        <f>+Climate!I39*$D35*HoursPerDayRatio*O$3</f>
        <v>0.92903225806451606</v>
      </c>
      <c r="P35" s="68">
        <f>+Climate!J39*$D35*HoursPerDayRatio*P$3</f>
        <v>0.97750000000000004</v>
      </c>
      <c r="Q35" s="68">
        <f>+Climate!K39*$D35*HoursPerDayRatio*Q$3</f>
        <v>1.1322580645161291</v>
      </c>
      <c r="R35" s="68">
        <f>+Climate!L39*$D35*HoursPerDayRatio*R$3</f>
        <v>0.9</v>
      </c>
      <c r="S35" s="69">
        <f>+Climate!M39*$D35*HoursPerDayRatio*S$3</f>
        <v>0.40645161290322573</v>
      </c>
    </row>
    <row r="36" spans="1:22" ht="15" outlineLevel="1" thickBot="1" x14ac:dyDescent="0.4">
      <c r="A36" s="235" t="s">
        <v>215</v>
      </c>
      <c r="B36" s="55">
        <f>'Rain+Other Factors'!C11</f>
        <v>1</v>
      </c>
      <c r="C36" s="55">
        <f>'Rain+Other Factors'!D11</f>
        <v>2</v>
      </c>
      <c r="D36" s="236">
        <f t="shared" si="16"/>
        <v>3</v>
      </c>
      <c r="E36" s="237"/>
      <c r="F36" s="447">
        <f>SUM(H36:S36)</f>
        <v>6.8147004608294921</v>
      </c>
      <c r="G36" s="448"/>
      <c r="H36" s="227">
        <f>+Climate!B40*$D36*H$3</f>
        <v>0.43548387096774188</v>
      </c>
      <c r="I36" s="228">
        <f>+Climate!C40*$D36*I$3</f>
        <v>1.1785714285714286</v>
      </c>
      <c r="J36" s="228">
        <f>+Climate!D40*$D36*J$3</f>
        <v>0.44516129032258073</v>
      </c>
      <c r="K36" s="228">
        <f>+Climate!E40*$D36*K$3</f>
        <v>0.95</v>
      </c>
      <c r="L36" s="228">
        <f>+Climate!F40*$D36*L$3</f>
        <v>0.4838709677419355</v>
      </c>
      <c r="M36" s="228">
        <f>+Climate!G40*$D36*M$3</f>
        <v>0.21000000000000002</v>
      </c>
      <c r="N36" s="228">
        <f>+Climate!H40*$D36*N$3</f>
        <v>0.4838709677419355</v>
      </c>
      <c r="O36" s="228">
        <f>+Climate!I40*$D36*O$3</f>
        <v>0.23225806451612907</v>
      </c>
      <c r="P36" s="228">
        <f>+Climate!J40*$D36*P$3</f>
        <v>0.46000000000000008</v>
      </c>
      <c r="Q36" s="228">
        <f>+Climate!K40*$D36*Q$3</f>
        <v>0.75483870967741928</v>
      </c>
      <c r="R36" s="228">
        <f>+Climate!L40*$D36*R$3</f>
        <v>0.59999999999999987</v>
      </c>
      <c r="S36" s="229">
        <f>+Climate!M40*$D36*S$3</f>
        <v>0.58064516129032251</v>
      </c>
    </row>
    <row r="37" spans="1:22" ht="15.75" customHeight="1" thickBot="1" x14ac:dyDescent="0.5">
      <c r="A37" s="435" t="s">
        <v>261</v>
      </c>
      <c r="B37" s="463"/>
      <c r="C37" s="463"/>
      <c r="D37" s="463"/>
      <c r="E37" s="463"/>
      <c r="F37" s="464">
        <f>SUM(H37:S37)</f>
        <v>49.72204205069125</v>
      </c>
      <c r="G37" s="465"/>
      <c r="H37" s="244">
        <f>SUM(H33:H36)</f>
        <v>1.9233870967741935</v>
      </c>
      <c r="I37" s="245">
        <f t="shared" ref="I37:S37" si="17">SUM(I33:I36)</f>
        <v>3.0790178571428575</v>
      </c>
      <c r="J37" s="245">
        <f t="shared" si="17"/>
        <v>2.9491935483870968</v>
      </c>
      <c r="K37" s="245">
        <f t="shared" si="17"/>
        <v>3.8118749999999997</v>
      </c>
      <c r="L37" s="245">
        <f t="shared" si="17"/>
        <v>5.564516129032258</v>
      </c>
      <c r="M37" s="245">
        <f t="shared" si="17"/>
        <v>4.2131249999999998</v>
      </c>
      <c r="N37" s="245">
        <f t="shared" si="17"/>
        <v>5.745967741935484</v>
      </c>
      <c r="O37" s="245">
        <f t="shared" si="17"/>
        <v>5.6903225806451614</v>
      </c>
      <c r="P37" s="245">
        <f t="shared" si="17"/>
        <v>5.1462499999999993</v>
      </c>
      <c r="Q37" s="245">
        <f t="shared" si="17"/>
        <v>5.5197580645161297</v>
      </c>
      <c r="R37" s="245">
        <f t="shared" si="17"/>
        <v>3.9375</v>
      </c>
      <c r="S37" s="246">
        <f t="shared" si="17"/>
        <v>2.1411290322580645</v>
      </c>
      <c r="V37" s="270" t="s">
        <v>275</v>
      </c>
    </row>
    <row r="38" spans="1:22" ht="15" customHeight="1" outlineLevel="1" thickBot="1" x14ac:dyDescent="0.4">
      <c r="A38" s="1"/>
      <c r="V38" s="271"/>
    </row>
    <row r="39" spans="1:22" ht="15" customHeight="1" outlineLevel="1" thickBot="1" x14ac:dyDescent="0.4">
      <c r="A39" s="168" t="s">
        <v>59</v>
      </c>
      <c r="B39" s="230" t="s">
        <v>114</v>
      </c>
      <c r="C39" s="231" t="s">
        <v>115</v>
      </c>
      <c r="D39" s="230" t="s">
        <v>116</v>
      </c>
      <c r="E39" s="128"/>
      <c r="F39" s="445"/>
      <c r="G39" s="446"/>
      <c r="H39" s="238"/>
      <c r="I39" s="239"/>
      <c r="J39" s="239"/>
      <c r="K39" s="239"/>
      <c r="L39" s="239"/>
      <c r="M39" s="239"/>
      <c r="N39" s="239"/>
      <c r="O39" s="239"/>
      <c r="P39" s="239"/>
      <c r="Q39" s="239"/>
      <c r="R39" s="239"/>
      <c r="S39" s="240"/>
      <c r="V39" s="271"/>
    </row>
    <row r="40" spans="1:22" ht="15.75" customHeight="1" outlineLevel="1" thickBot="1" x14ac:dyDescent="0.4">
      <c r="A40" s="51" t="s">
        <v>110</v>
      </c>
      <c r="B40" s="55">
        <f>'Rain+Other Factors'!G8</f>
        <v>0</v>
      </c>
      <c r="C40" s="55">
        <f>'Rain+Other Factors'!H8</f>
        <v>0</v>
      </c>
      <c r="D40" s="56">
        <f>SUM(B40:C40)</f>
        <v>0</v>
      </c>
      <c r="E40" s="99"/>
      <c r="F40" s="443">
        <f>SUM(H40:S40)</f>
        <v>0</v>
      </c>
      <c r="G40" s="444"/>
      <c r="H40" s="241">
        <f>+Climate!B35*$D40*HoursPerDayRatio*H$3</f>
        <v>0</v>
      </c>
      <c r="I40" s="232">
        <f>+Climate!C35*$D40*HoursPerDayRatio*I$3</f>
        <v>0</v>
      </c>
      <c r="J40" s="232">
        <f>+Climate!D35*$D40*HoursPerDayRatio*J$3</f>
        <v>0</v>
      </c>
      <c r="K40" s="232">
        <f>+Climate!E35*$D40*HoursPerDayRatio*K$3</f>
        <v>0</v>
      </c>
      <c r="L40" s="232">
        <f>+Climate!F35*$D40*HoursPerDayRatio*L$3</f>
        <v>0</v>
      </c>
      <c r="M40" s="232">
        <f>+Climate!G35*$D40*HoursPerDayRatio*M$3</f>
        <v>0</v>
      </c>
      <c r="N40" s="232">
        <f>+Climate!H35*$D40*HoursPerDayRatio*N$3</f>
        <v>0</v>
      </c>
      <c r="O40" s="232">
        <f>+Climate!I35*$D40*HoursPerDayRatio*O$3</f>
        <v>0</v>
      </c>
      <c r="P40" s="232">
        <f>+Climate!J35*$D40*HoursPerDayRatio*P$3</f>
        <v>0</v>
      </c>
      <c r="Q40" s="232">
        <f>+Climate!K35*$D40*HoursPerDayRatio*Q$3</f>
        <v>0</v>
      </c>
      <c r="R40" s="232">
        <f>+Climate!L35*$D40*HoursPerDayRatio*R$3</f>
        <v>0</v>
      </c>
      <c r="S40" s="233">
        <f>+Climate!M35*$D40*HoursPerDayRatio*S$3</f>
        <v>0</v>
      </c>
      <c r="V40" s="271"/>
    </row>
    <row r="41" spans="1:22" ht="15" outlineLevel="1" thickBot="1" x14ac:dyDescent="0.4">
      <c r="A41" s="52" t="s">
        <v>213</v>
      </c>
      <c r="B41" s="55">
        <f>'Rain+Other Factors'!G9</f>
        <v>0.5</v>
      </c>
      <c r="C41" s="55">
        <f>'Rain+Other Factors'!H9</f>
        <v>0</v>
      </c>
      <c r="D41" s="56">
        <f t="shared" ref="D41:D43" si="18">SUM(B41:C41)</f>
        <v>0.5</v>
      </c>
      <c r="E41" s="24"/>
      <c r="F41" s="439">
        <f>SUM(H41:S41)</f>
        <v>11.265930299539169</v>
      </c>
      <c r="G41" s="440"/>
      <c r="H41" s="67">
        <f>+Climate!B37*$D41*HoursPerDayRatio*H$3</f>
        <v>0.36290322580645162</v>
      </c>
      <c r="I41" s="68">
        <f>+Climate!C37*$D41*HoursPerDayRatio*I$3</f>
        <v>0.45669642857142861</v>
      </c>
      <c r="J41" s="68">
        <f>+Climate!D37*$D41*HoursPerDayRatio*J$3</f>
        <v>0.61209677419354847</v>
      </c>
      <c r="K41" s="68">
        <f>+Climate!E37*$D41*HoursPerDayRatio*K$3</f>
        <v>0.74812499999999993</v>
      </c>
      <c r="L41" s="68">
        <f>+Climate!F37*$D41*HoursPerDayRatio*L$3</f>
        <v>1.3306451612903225</v>
      </c>
      <c r="M41" s="68">
        <f>+Climate!G37*$D41*HoursPerDayRatio*M$3</f>
        <v>1.089375</v>
      </c>
      <c r="N41" s="68">
        <f>+Climate!H37*$D41*HoursPerDayRatio*N$3</f>
        <v>1.5120967741935483</v>
      </c>
      <c r="O41" s="68">
        <f>+Climate!I37*$D41*HoursPerDayRatio*O$3</f>
        <v>1.5096774193548388</v>
      </c>
      <c r="P41" s="68">
        <f>+Climate!J37*$D41*HoursPerDayRatio*P$3</f>
        <v>1.2362499999999998</v>
      </c>
      <c r="Q41" s="68">
        <f>+Climate!K37*$D41*HoursPerDayRatio*Q$3</f>
        <v>1.2108870967741936</v>
      </c>
      <c r="R41" s="68">
        <f>+Climate!L37*$D41*HoursPerDayRatio*R$3</f>
        <v>0.8125</v>
      </c>
      <c r="S41" s="69">
        <f>+Climate!M37*$D41*HoursPerDayRatio*S$3</f>
        <v>0.38467741935483873</v>
      </c>
      <c r="V41" s="271"/>
    </row>
    <row r="42" spans="1:22" ht="15" outlineLevel="1" thickBot="1" x14ac:dyDescent="0.4">
      <c r="A42" s="52" t="s">
        <v>214</v>
      </c>
      <c r="B42" s="55">
        <f>'Rain+Other Factors'!G10</f>
        <v>1</v>
      </c>
      <c r="C42" s="55">
        <f>'Rain+Other Factors'!H10</f>
        <v>0.3</v>
      </c>
      <c r="D42" s="56">
        <f t="shared" si="18"/>
        <v>1.3</v>
      </c>
      <c r="E42" s="24"/>
      <c r="F42" s="439">
        <f>SUM(H42:S42)</f>
        <v>5.9212079493087568</v>
      </c>
      <c r="G42" s="440"/>
      <c r="H42" s="67">
        <f>+Climate!B39*$D42*HoursPerDayRatio*H$3</f>
        <v>0.25947580645161289</v>
      </c>
      <c r="I42" s="68">
        <f>+Climate!C39*$D42*HoursPerDayRatio*I$3</f>
        <v>0.34473214285714282</v>
      </c>
      <c r="J42" s="68">
        <f>+Climate!D39*$D42*HoursPerDayRatio*J$3</f>
        <v>0.43403225806451612</v>
      </c>
      <c r="K42" s="68">
        <f>+Climate!E39*$D42*HoursPerDayRatio*K$3</f>
        <v>0.40137499999999998</v>
      </c>
      <c r="L42" s="68">
        <f>+Climate!F39*$D42*HoursPerDayRatio*L$3</f>
        <v>0.70766129032258074</v>
      </c>
      <c r="M42" s="68">
        <f>+Climate!G39*$D42*HoursPerDayRatio*M$3</f>
        <v>0.4777499999999999</v>
      </c>
      <c r="N42" s="68">
        <f>+Climate!H39*$D42*HoursPerDayRatio*N$3</f>
        <v>0.47177419354838707</v>
      </c>
      <c r="O42" s="68">
        <f>+Climate!I39*$D42*HoursPerDayRatio*O$3</f>
        <v>0.60387096774193549</v>
      </c>
      <c r="P42" s="68">
        <f>+Climate!J39*$D42*HoursPerDayRatio*P$3</f>
        <v>0.63537500000000002</v>
      </c>
      <c r="Q42" s="68">
        <f>+Climate!K39*$D42*HoursPerDayRatio*Q$3</f>
        <v>0.73596774193548409</v>
      </c>
      <c r="R42" s="68">
        <f>+Climate!L39*$D42*HoursPerDayRatio*R$3</f>
        <v>0.58500000000000008</v>
      </c>
      <c r="S42" s="69">
        <f>+Climate!M39*$D42*HoursPerDayRatio*S$3</f>
        <v>0.26419354838709674</v>
      </c>
      <c r="V42" s="271"/>
    </row>
    <row r="43" spans="1:22" ht="15" outlineLevel="1" thickBot="1" x14ac:dyDescent="0.4">
      <c r="A43" s="235" t="s">
        <v>215</v>
      </c>
      <c r="B43" s="55">
        <f>'Rain+Other Factors'!G11</f>
        <v>1</v>
      </c>
      <c r="C43" s="55">
        <f>'Rain+Other Factors'!H11</f>
        <v>0.5</v>
      </c>
      <c r="D43" s="236">
        <f t="shared" si="18"/>
        <v>1.5</v>
      </c>
      <c r="E43" s="237"/>
      <c r="F43" s="447">
        <f>SUM(H43:S43)</f>
        <v>3.4073502304147461</v>
      </c>
      <c r="G43" s="448"/>
      <c r="H43" s="227">
        <f>+Climate!B40*$D43*H$3</f>
        <v>0.21774193548387094</v>
      </c>
      <c r="I43" s="228">
        <f>+Climate!C40*$D43*I$3</f>
        <v>0.5892857142857143</v>
      </c>
      <c r="J43" s="228">
        <f>+Climate!D40*$D43*J$3</f>
        <v>0.22258064516129036</v>
      </c>
      <c r="K43" s="228">
        <f>+Climate!E40*$D43*K$3</f>
        <v>0.47499999999999998</v>
      </c>
      <c r="L43" s="228">
        <f>+Climate!F40*$D43*L$3</f>
        <v>0.24193548387096775</v>
      </c>
      <c r="M43" s="228">
        <f>+Climate!G40*$D43*M$3</f>
        <v>0.10500000000000001</v>
      </c>
      <c r="N43" s="228">
        <f>+Climate!H40*$D43*N$3</f>
        <v>0.24193548387096775</v>
      </c>
      <c r="O43" s="228">
        <f>+Climate!I40*$D43*O$3</f>
        <v>0.11612903225806454</v>
      </c>
      <c r="P43" s="228">
        <f>+Climate!J40*$D43*P$3</f>
        <v>0.23000000000000004</v>
      </c>
      <c r="Q43" s="228">
        <f>+Climate!K40*$D43*Q$3</f>
        <v>0.37741935483870964</v>
      </c>
      <c r="R43" s="228">
        <f>+Climate!L40*$D43*R$3</f>
        <v>0.29999999999999993</v>
      </c>
      <c r="S43" s="229">
        <f>+Climate!M40*$D43*S$3</f>
        <v>0.29032258064516125</v>
      </c>
      <c r="V43" s="271"/>
    </row>
    <row r="44" spans="1:22" ht="19" thickBot="1" x14ac:dyDescent="0.5">
      <c r="A44" s="435" t="s">
        <v>262</v>
      </c>
      <c r="B44" s="463"/>
      <c r="C44" s="463"/>
      <c r="D44" s="463"/>
      <c r="E44" s="463"/>
      <c r="F44" s="447">
        <f>SUM(H44:S44)</f>
        <v>20.594488479262672</v>
      </c>
      <c r="G44" s="448"/>
      <c r="H44" s="227">
        <f>SUM(H40:H43)</f>
        <v>0.84012096774193545</v>
      </c>
      <c r="I44" s="234">
        <f>SUM(I40:I43)</f>
        <v>1.3907142857142856</v>
      </c>
      <c r="J44" s="234">
        <f t="shared" ref="I44:S44" si="19">SUM(J40:J43)</f>
        <v>1.2687096774193549</v>
      </c>
      <c r="K44" s="234">
        <f t="shared" si="19"/>
        <v>1.6244999999999998</v>
      </c>
      <c r="L44" s="234">
        <f t="shared" si="19"/>
        <v>2.280241935483871</v>
      </c>
      <c r="M44" s="234">
        <f t="shared" si="19"/>
        <v>1.6721249999999999</v>
      </c>
      <c r="N44" s="234">
        <f t="shared" si="19"/>
        <v>2.225806451612903</v>
      </c>
      <c r="O44" s="234">
        <f t="shared" si="19"/>
        <v>2.229677419354839</v>
      </c>
      <c r="P44" s="234">
        <f t="shared" si="19"/>
        <v>2.1016249999999999</v>
      </c>
      <c r="Q44" s="234">
        <f t="shared" si="19"/>
        <v>2.3242741935483875</v>
      </c>
      <c r="R44" s="234">
        <f t="shared" si="19"/>
        <v>1.6974999999999998</v>
      </c>
      <c r="S44" s="229">
        <f t="shared" si="19"/>
        <v>0.93919354838709679</v>
      </c>
      <c r="V44" s="272" t="s">
        <v>277</v>
      </c>
    </row>
    <row r="45" spans="1:22" ht="15" outlineLevel="1" thickBot="1" x14ac:dyDescent="0.4">
      <c r="A45" s="1"/>
      <c r="V45" s="271"/>
    </row>
    <row r="46" spans="1:22" ht="15" outlineLevel="1" thickBot="1" x14ac:dyDescent="0.4">
      <c r="A46" s="168" t="s">
        <v>59</v>
      </c>
      <c r="B46" s="230" t="s">
        <v>114</v>
      </c>
      <c r="C46" s="231" t="s">
        <v>115</v>
      </c>
      <c r="D46" s="230" t="s">
        <v>116</v>
      </c>
      <c r="E46" s="128"/>
      <c r="F46" s="445"/>
      <c r="G46" s="446"/>
      <c r="H46" s="238"/>
      <c r="I46" s="239"/>
      <c r="J46" s="239"/>
      <c r="K46" s="239"/>
      <c r="L46" s="239"/>
      <c r="M46" s="239"/>
      <c r="N46" s="239"/>
      <c r="O46" s="239"/>
      <c r="P46" s="239"/>
      <c r="Q46" s="239"/>
      <c r="R46" s="239"/>
      <c r="S46" s="240"/>
      <c r="V46" s="271"/>
    </row>
    <row r="47" spans="1:22" ht="15" outlineLevel="1" thickBot="1" x14ac:dyDescent="0.4">
      <c r="A47" s="51" t="s">
        <v>110</v>
      </c>
      <c r="B47" s="55">
        <f>'Rain+Other Factors'!K8</f>
        <v>0</v>
      </c>
      <c r="C47" s="55">
        <f>'Rain+Other Factors'!L8</f>
        <v>0</v>
      </c>
      <c r="D47" s="56">
        <f>SUM(B47:C47)</f>
        <v>0</v>
      </c>
      <c r="E47" s="99"/>
      <c r="F47" s="443">
        <f>SUM(H47:S47)</f>
        <v>0</v>
      </c>
      <c r="G47" s="444"/>
      <c r="H47" s="241">
        <f>+Climate!B35*$D47*HoursPerDayRatio*H$3</f>
        <v>0</v>
      </c>
      <c r="I47" s="232">
        <f>+Climate!C35*$D47*HoursPerDayRatio*I$3</f>
        <v>0</v>
      </c>
      <c r="J47" s="232">
        <f>+Climate!D35*$D47*HoursPerDayRatio*J$3</f>
        <v>0</v>
      </c>
      <c r="K47" s="232">
        <f>+Climate!E35*$D47*HoursPerDayRatio*K$3</f>
        <v>0</v>
      </c>
      <c r="L47" s="232">
        <f>+Climate!F35*$D47*HoursPerDayRatio*L$3</f>
        <v>0</v>
      </c>
      <c r="M47" s="232">
        <f>+Climate!G35*$D47*HoursPerDayRatio*M$3</f>
        <v>0</v>
      </c>
      <c r="N47" s="232">
        <f>+Climate!H35*$D47*HoursPerDayRatio*N$3</f>
        <v>0</v>
      </c>
      <c r="O47" s="232">
        <f>+Climate!I35*$D47*HoursPerDayRatio*O$3</f>
        <v>0</v>
      </c>
      <c r="P47" s="232">
        <f>+Climate!J35*$D47*HoursPerDayRatio*P$3</f>
        <v>0</v>
      </c>
      <c r="Q47" s="232">
        <f>+Climate!K35*$D47*HoursPerDayRatio*Q$3</f>
        <v>0</v>
      </c>
      <c r="R47" s="232">
        <f>+Climate!L35*$D47*HoursPerDayRatio*R$3</f>
        <v>0</v>
      </c>
      <c r="S47" s="233">
        <f>+Climate!M35*$D47*HoursPerDayRatio*S$3</f>
        <v>0</v>
      </c>
      <c r="V47" s="271"/>
    </row>
    <row r="48" spans="1:22" ht="15" outlineLevel="1" thickBot="1" x14ac:dyDescent="0.4">
      <c r="A48" s="52" t="s">
        <v>213</v>
      </c>
      <c r="B48" s="55">
        <f>'Rain+Other Factors'!K9</f>
        <v>0.5</v>
      </c>
      <c r="C48" s="55">
        <f>'Rain+Other Factors'!L9</f>
        <v>0</v>
      </c>
      <c r="D48" s="56">
        <f t="shared" ref="D48:D50" si="20">SUM(B48:C48)</f>
        <v>0.5</v>
      </c>
      <c r="E48" s="24"/>
      <c r="F48" s="439">
        <f>SUM(H48:S48)</f>
        <v>11.265930299539169</v>
      </c>
      <c r="G48" s="440"/>
      <c r="H48" s="67">
        <f>+Climate!B37*$D48*HoursPerDayRatio*H$3</f>
        <v>0.36290322580645162</v>
      </c>
      <c r="I48" s="68">
        <f>+Climate!C37*$D48*HoursPerDayRatio*I$3</f>
        <v>0.45669642857142861</v>
      </c>
      <c r="J48" s="68">
        <f>+Climate!D37*$D48*HoursPerDayRatio*J$3</f>
        <v>0.61209677419354847</v>
      </c>
      <c r="K48" s="68">
        <f>+Climate!E37*$D48*HoursPerDayRatio*K$3</f>
        <v>0.74812499999999993</v>
      </c>
      <c r="L48" s="68">
        <f>+Climate!F37*$D48*HoursPerDayRatio*L$3</f>
        <v>1.3306451612903225</v>
      </c>
      <c r="M48" s="68">
        <f>+Climate!G37*$D48*HoursPerDayRatio*M$3</f>
        <v>1.089375</v>
      </c>
      <c r="N48" s="68">
        <f>+Climate!H37*$D48*HoursPerDayRatio*N$3</f>
        <v>1.5120967741935483</v>
      </c>
      <c r="O48" s="68">
        <f>+Climate!I37*$D48*HoursPerDayRatio*O$3</f>
        <v>1.5096774193548388</v>
      </c>
      <c r="P48" s="68">
        <f>+Climate!J37*$D48*HoursPerDayRatio*P$3</f>
        <v>1.2362499999999998</v>
      </c>
      <c r="Q48" s="68">
        <f>+Climate!K37*$D48*HoursPerDayRatio*Q$3</f>
        <v>1.2108870967741936</v>
      </c>
      <c r="R48" s="68">
        <f>+Climate!L37*$D48*HoursPerDayRatio*R$3</f>
        <v>0.8125</v>
      </c>
      <c r="S48" s="69">
        <f>+Climate!M37*$D48*HoursPerDayRatio*S$3</f>
        <v>0.38467741935483873</v>
      </c>
      <c r="V48" s="271"/>
    </row>
    <row r="49" spans="1:22" ht="15" outlineLevel="1" thickBot="1" x14ac:dyDescent="0.4">
      <c r="A49" s="52" t="s">
        <v>214</v>
      </c>
      <c r="B49" s="55">
        <f>'Rain+Other Factors'!K10</f>
        <v>1</v>
      </c>
      <c r="C49" s="55">
        <f>'Rain+Other Factors'!L10</f>
        <v>0.25</v>
      </c>
      <c r="D49" s="56">
        <f t="shared" si="20"/>
        <v>1.25</v>
      </c>
      <c r="E49" s="24"/>
      <c r="F49" s="439">
        <f>SUM(H49:S49)</f>
        <v>5.6934691820276502</v>
      </c>
      <c r="G49" s="440"/>
      <c r="H49" s="67">
        <f>+Climate!B39*$D49*HoursPerDayRatio*H$3</f>
        <v>0.24949596774193544</v>
      </c>
      <c r="I49" s="68">
        <f>+Climate!C39*$D49*HoursPerDayRatio*I$3</f>
        <v>0.3314732142857143</v>
      </c>
      <c r="J49" s="68">
        <f>+Climate!D39*$D49*HoursPerDayRatio*J$3</f>
        <v>0.41733870967741937</v>
      </c>
      <c r="K49" s="68">
        <f>+Climate!E39*$D49*HoursPerDayRatio*K$3</f>
        <v>0.38593749999999999</v>
      </c>
      <c r="L49" s="68">
        <f>+Climate!F39*$D49*HoursPerDayRatio*L$3</f>
        <v>0.68044354838709675</v>
      </c>
      <c r="M49" s="68">
        <f>+Climate!G39*$D49*HoursPerDayRatio*M$3</f>
        <v>0.45937499999999998</v>
      </c>
      <c r="N49" s="68">
        <f>+Climate!H39*$D49*HoursPerDayRatio*N$3</f>
        <v>0.4536290322580645</v>
      </c>
      <c r="O49" s="68">
        <f>+Climate!I39*$D49*HoursPerDayRatio*O$3</f>
        <v>0.58064516129032251</v>
      </c>
      <c r="P49" s="68">
        <f>+Climate!J39*$D49*HoursPerDayRatio*P$3</f>
        <v>0.61093750000000002</v>
      </c>
      <c r="Q49" s="68">
        <f>+Climate!K39*$D49*HoursPerDayRatio*Q$3</f>
        <v>0.70766129032258063</v>
      </c>
      <c r="R49" s="68">
        <f>+Climate!L39*$D49*HoursPerDayRatio*R$3</f>
        <v>0.5625</v>
      </c>
      <c r="S49" s="69">
        <f>+Climate!M39*$D49*HoursPerDayRatio*S$3</f>
        <v>0.25403225806451613</v>
      </c>
      <c r="V49" s="271"/>
    </row>
    <row r="50" spans="1:22" ht="15" outlineLevel="1" thickBot="1" x14ac:dyDescent="0.4">
      <c r="A50" s="235" t="s">
        <v>215</v>
      </c>
      <c r="B50" s="55">
        <f>'Rain+Other Factors'!K11</f>
        <v>1</v>
      </c>
      <c r="C50" s="55">
        <f>'Rain+Other Factors'!L11</f>
        <v>0.5</v>
      </c>
      <c r="D50" s="236">
        <f t="shared" si="20"/>
        <v>1.5</v>
      </c>
      <c r="E50" s="237"/>
      <c r="F50" s="447">
        <f>SUM(H50:S50)</f>
        <v>3.4073502304147461</v>
      </c>
      <c r="G50" s="448"/>
      <c r="H50" s="227">
        <f>+Climate!B40*$D50*H$3</f>
        <v>0.21774193548387094</v>
      </c>
      <c r="I50" s="228">
        <f>+Climate!C40*$D50*I$3</f>
        <v>0.5892857142857143</v>
      </c>
      <c r="J50" s="228">
        <f>+Climate!D40*$D50*J$3</f>
        <v>0.22258064516129036</v>
      </c>
      <c r="K50" s="228">
        <f>+Climate!E40*$D50*K$3</f>
        <v>0.47499999999999998</v>
      </c>
      <c r="L50" s="228">
        <f>+Climate!F40*$D50*L$3</f>
        <v>0.24193548387096775</v>
      </c>
      <c r="M50" s="228">
        <f>+Climate!G40*$D50*M$3</f>
        <v>0.10500000000000001</v>
      </c>
      <c r="N50" s="228">
        <f>+Climate!H40*$D50*N$3</f>
        <v>0.24193548387096775</v>
      </c>
      <c r="O50" s="228">
        <f>+Climate!I40*$D50*O$3</f>
        <v>0.11612903225806454</v>
      </c>
      <c r="P50" s="228">
        <f>+Climate!J40*$D50*P$3</f>
        <v>0.23000000000000004</v>
      </c>
      <c r="Q50" s="228">
        <f>+Climate!K40*$D50*Q$3</f>
        <v>0.37741935483870964</v>
      </c>
      <c r="R50" s="228">
        <f>+Climate!L40*$D50*R$3</f>
        <v>0.29999999999999993</v>
      </c>
      <c r="S50" s="229">
        <f>+Climate!M40*$D50*S$3</f>
        <v>0.29032258064516125</v>
      </c>
      <c r="V50" s="271"/>
    </row>
    <row r="51" spans="1:22" ht="19" thickBot="1" x14ac:dyDescent="0.5">
      <c r="A51" s="435" t="s">
        <v>263</v>
      </c>
      <c r="B51" s="463"/>
      <c r="C51" s="463"/>
      <c r="D51" s="463"/>
      <c r="E51" s="463"/>
      <c r="F51" s="447">
        <f>SUM(H51:S51)</f>
        <v>20.366749711981569</v>
      </c>
      <c r="G51" s="448"/>
      <c r="H51" s="227">
        <f>SUM(H47:H50)</f>
        <v>0.83014112903225801</v>
      </c>
      <c r="I51" s="234">
        <f t="shared" ref="I51:S51" si="21">SUM(I47:I50)</f>
        <v>1.3774553571428574</v>
      </c>
      <c r="J51" s="234">
        <f t="shared" si="21"/>
        <v>1.2520161290322582</v>
      </c>
      <c r="K51" s="234">
        <f t="shared" si="21"/>
        <v>1.6090624999999998</v>
      </c>
      <c r="L51" s="234">
        <f t="shared" si="21"/>
        <v>2.253024193548387</v>
      </c>
      <c r="M51" s="234">
        <f t="shared" si="21"/>
        <v>1.6537500000000001</v>
      </c>
      <c r="N51" s="234">
        <f t="shared" si="21"/>
        <v>2.2076612903225805</v>
      </c>
      <c r="O51" s="234">
        <f t="shared" si="21"/>
        <v>2.2064516129032259</v>
      </c>
      <c r="P51" s="234">
        <f t="shared" si="21"/>
        <v>2.0771875</v>
      </c>
      <c r="Q51" s="234">
        <f t="shared" si="21"/>
        <v>2.2959677419354838</v>
      </c>
      <c r="R51" s="234">
        <f t="shared" si="21"/>
        <v>1.6749999999999998</v>
      </c>
      <c r="S51" s="229">
        <f t="shared" si="21"/>
        <v>0.92903225806451606</v>
      </c>
      <c r="V51" s="272" t="s">
        <v>410</v>
      </c>
    </row>
    <row r="52" spans="1:22" ht="15" outlineLevel="1" thickBot="1" x14ac:dyDescent="0.4">
      <c r="A52" s="1"/>
      <c r="V52" s="271"/>
    </row>
    <row r="53" spans="1:22" ht="15" outlineLevel="1" thickBot="1" x14ac:dyDescent="0.4">
      <c r="A53" s="168" t="s">
        <v>59</v>
      </c>
      <c r="B53" s="230" t="s">
        <v>114</v>
      </c>
      <c r="C53" s="231" t="s">
        <v>115</v>
      </c>
      <c r="D53" s="230" t="s">
        <v>116</v>
      </c>
      <c r="E53" s="128"/>
      <c r="F53" s="445"/>
      <c r="G53" s="446"/>
      <c r="H53" s="238"/>
      <c r="I53" s="239"/>
      <c r="J53" s="239"/>
      <c r="K53" s="239"/>
      <c r="L53" s="239"/>
      <c r="M53" s="239"/>
      <c r="N53" s="239"/>
      <c r="O53" s="239"/>
      <c r="P53" s="239"/>
      <c r="Q53" s="239"/>
      <c r="R53" s="239"/>
      <c r="S53" s="240"/>
      <c r="V53" s="271"/>
    </row>
    <row r="54" spans="1:22" ht="15" outlineLevel="1" thickBot="1" x14ac:dyDescent="0.4">
      <c r="A54" s="51" t="s">
        <v>110</v>
      </c>
      <c r="B54" s="55">
        <f>'Rain+Other Factors'!O8</f>
        <v>0</v>
      </c>
      <c r="C54" s="55">
        <f>'Rain+Other Factors'!P8</f>
        <v>0</v>
      </c>
      <c r="D54" s="56">
        <f>SUM(B54:C54)</f>
        <v>0</v>
      </c>
      <c r="E54" s="99"/>
      <c r="F54" s="443">
        <f>SUM(H54:S54)</f>
        <v>0</v>
      </c>
      <c r="G54" s="444"/>
      <c r="H54" s="241">
        <f>+Climate!B35*$D54*HoursPerDayRatio*H$3</f>
        <v>0</v>
      </c>
      <c r="I54" s="232">
        <f>+Climate!C35*$D54*HoursPerDayRatio*I$3</f>
        <v>0</v>
      </c>
      <c r="J54" s="232">
        <f>+Climate!D35*$D54*HoursPerDayRatio*J$3</f>
        <v>0</v>
      </c>
      <c r="K54" s="232">
        <f>+Climate!E35*$D54*HoursPerDayRatio*K$3</f>
        <v>0</v>
      </c>
      <c r="L54" s="232">
        <f>+Climate!F35*$D54*HoursPerDayRatio*L$3</f>
        <v>0</v>
      </c>
      <c r="M54" s="232">
        <f>+Climate!G35*$D54*HoursPerDayRatio*M$3</f>
        <v>0</v>
      </c>
      <c r="N54" s="232">
        <f>+Climate!H35*$D54*HoursPerDayRatio*N$3</f>
        <v>0</v>
      </c>
      <c r="O54" s="232">
        <f>+Climate!I35*$D54*HoursPerDayRatio*O$3</f>
        <v>0</v>
      </c>
      <c r="P54" s="232">
        <f>+Climate!J35*$D54*HoursPerDayRatio*P$3</f>
        <v>0</v>
      </c>
      <c r="Q54" s="232">
        <f>+Climate!K35*$D54*HoursPerDayRatio*Q$3</f>
        <v>0</v>
      </c>
      <c r="R54" s="232">
        <f>+Climate!L35*$D54*HoursPerDayRatio*R$3</f>
        <v>0</v>
      </c>
      <c r="S54" s="233">
        <f>+Climate!M35*$D54*HoursPerDayRatio*S$3</f>
        <v>0</v>
      </c>
      <c r="V54" s="271"/>
    </row>
    <row r="55" spans="1:22" ht="15" outlineLevel="1" thickBot="1" x14ac:dyDescent="0.4">
      <c r="A55" s="52" t="s">
        <v>213</v>
      </c>
      <c r="B55" s="55">
        <f>'Rain+Other Factors'!O9</f>
        <v>0</v>
      </c>
      <c r="C55" s="55">
        <f>'Rain+Other Factors'!P9</f>
        <v>0</v>
      </c>
      <c r="D55" s="56">
        <f t="shared" ref="D55:D57" si="22">SUM(B55:C55)</f>
        <v>0</v>
      </c>
      <c r="E55" s="24"/>
      <c r="F55" s="439">
        <f>SUM(H55:S55)</f>
        <v>0</v>
      </c>
      <c r="G55" s="440"/>
      <c r="H55" s="67">
        <f>+Climate!B37*$D55*HoursPerDayRatio*H$3</f>
        <v>0</v>
      </c>
      <c r="I55" s="68">
        <f>+Climate!C37*$D55*HoursPerDayRatio*I$3</f>
        <v>0</v>
      </c>
      <c r="J55" s="68">
        <f>+Climate!D37*$D55*HoursPerDayRatio*J$3</f>
        <v>0</v>
      </c>
      <c r="K55" s="68">
        <f>+Climate!E37*$D55*HoursPerDayRatio*K$3</f>
        <v>0</v>
      </c>
      <c r="L55" s="68">
        <f>+Climate!F37*$D55*HoursPerDayRatio*L$3</f>
        <v>0</v>
      </c>
      <c r="M55" s="68">
        <f>+Climate!G37*$D55*HoursPerDayRatio*M$3</f>
        <v>0</v>
      </c>
      <c r="N55" s="68">
        <f>+Climate!H37*$D55*HoursPerDayRatio*N$3</f>
        <v>0</v>
      </c>
      <c r="O55" s="68">
        <f>+Climate!I37*$D55*HoursPerDayRatio*O$3</f>
        <v>0</v>
      </c>
      <c r="P55" s="68">
        <f>+Climate!J37*$D55*HoursPerDayRatio*P$3</f>
        <v>0</v>
      </c>
      <c r="Q55" s="68">
        <f>+Climate!K37*$D55*HoursPerDayRatio*Q$3</f>
        <v>0</v>
      </c>
      <c r="R55" s="68">
        <f>+Climate!L37*$D55*HoursPerDayRatio*R$3</f>
        <v>0</v>
      </c>
      <c r="S55" s="69">
        <f>+Climate!M37*$D55*HoursPerDayRatio*S$3</f>
        <v>0</v>
      </c>
      <c r="V55" s="271"/>
    </row>
    <row r="56" spans="1:22" ht="15" outlineLevel="1" thickBot="1" x14ac:dyDescent="0.4">
      <c r="A56" s="52" t="s">
        <v>214</v>
      </c>
      <c r="B56" s="55">
        <f>'Rain+Other Factors'!O10</f>
        <v>0.5</v>
      </c>
      <c r="C56" s="55">
        <f>'Rain+Other Factors'!P10</f>
        <v>0</v>
      </c>
      <c r="D56" s="56">
        <f t="shared" si="22"/>
        <v>0.5</v>
      </c>
      <c r="E56" s="24"/>
      <c r="F56" s="439">
        <f>SUM(H56:S56)</f>
        <v>2.2773876728110598</v>
      </c>
      <c r="G56" s="440"/>
      <c r="H56" s="67">
        <f>+Climate!B39*$D56*HoursPerDayRatio*H$3</f>
        <v>9.9798387096774188E-2</v>
      </c>
      <c r="I56" s="68">
        <f>+Climate!C39*$D56*HoursPerDayRatio*I$3</f>
        <v>0.13258928571428569</v>
      </c>
      <c r="J56" s="68">
        <f>+Climate!D39*$D56*HoursPerDayRatio*J$3</f>
        <v>0.16693548387096774</v>
      </c>
      <c r="K56" s="68">
        <f>+Climate!E39*$D56*HoursPerDayRatio*K$3</f>
        <v>0.15437500000000001</v>
      </c>
      <c r="L56" s="68">
        <f>+Climate!F39*$D56*HoursPerDayRatio*L$3</f>
        <v>0.27217741935483869</v>
      </c>
      <c r="M56" s="68">
        <f>+Climate!G39*$D56*HoursPerDayRatio*M$3</f>
        <v>0.18374999999999997</v>
      </c>
      <c r="N56" s="68">
        <f>+Climate!H39*$D56*HoursPerDayRatio*N$3</f>
        <v>0.18145161290322578</v>
      </c>
      <c r="O56" s="68">
        <f>+Climate!I39*$D56*HoursPerDayRatio*O$3</f>
        <v>0.23225806451612901</v>
      </c>
      <c r="P56" s="68">
        <f>+Climate!J39*$D56*HoursPerDayRatio*P$3</f>
        <v>0.24437500000000001</v>
      </c>
      <c r="Q56" s="68">
        <f>+Climate!K39*$D56*HoursPerDayRatio*Q$3</f>
        <v>0.28306451612903227</v>
      </c>
      <c r="R56" s="68">
        <f>+Climate!L39*$D56*HoursPerDayRatio*R$3</f>
        <v>0.22500000000000001</v>
      </c>
      <c r="S56" s="69">
        <f>+Climate!M39*$D56*HoursPerDayRatio*S$3</f>
        <v>0.10161290322580643</v>
      </c>
      <c r="V56" s="271"/>
    </row>
    <row r="57" spans="1:22" ht="15" outlineLevel="1" thickBot="1" x14ac:dyDescent="0.4">
      <c r="A57" s="235" t="s">
        <v>215</v>
      </c>
      <c r="B57" s="55">
        <f>'Rain+Other Factors'!O11</f>
        <v>0.5</v>
      </c>
      <c r="C57" s="55">
        <f>'Rain+Other Factors'!P11</f>
        <v>0</v>
      </c>
      <c r="D57" s="236">
        <f t="shared" si="22"/>
        <v>0.5</v>
      </c>
      <c r="E57" s="237"/>
      <c r="F57" s="447">
        <f>SUM(H57:S57)</f>
        <v>1.1357834101382489</v>
      </c>
      <c r="G57" s="448"/>
      <c r="H57" s="227">
        <f>+Climate!B40*$D57*H$3</f>
        <v>7.2580645161290328E-2</v>
      </c>
      <c r="I57" s="228">
        <f>+Climate!C40*$D57*I$3</f>
        <v>0.19642857142857142</v>
      </c>
      <c r="J57" s="228">
        <f>+Climate!D40*$D57*J$3</f>
        <v>7.4193548387096783E-2</v>
      </c>
      <c r="K57" s="228">
        <f>+Climate!E40*$D57*K$3</f>
        <v>0.15833333333333333</v>
      </c>
      <c r="L57" s="228">
        <f>+Climate!F40*$D57*L$3</f>
        <v>8.0645161290322578E-2</v>
      </c>
      <c r="M57" s="228">
        <f>+Climate!G40*$D57*M$3</f>
        <v>3.4999999999999996E-2</v>
      </c>
      <c r="N57" s="228">
        <f>+Climate!H40*$D57*N$3</f>
        <v>8.0645161290322578E-2</v>
      </c>
      <c r="O57" s="228">
        <f>+Climate!I40*$D57*O$3</f>
        <v>3.870967741935484E-2</v>
      </c>
      <c r="P57" s="228">
        <f>+Climate!J40*$D57*P$3</f>
        <v>7.6666666666666675E-2</v>
      </c>
      <c r="Q57" s="228">
        <f>+Climate!K40*$D57*Q$3</f>
        <v>0.12580645161290321</v>
      </c>
      <c r="R57" s="228">
        <f>+Climate!L40*$D57*R$3</f>
        <v>9.9999999999999992E-2</v>
      </c>
      <c r="S57" s="229">
        <f>+Climate!M40*$D57*S$3</f>
        <v>9.6774193548387094E-2</v>
      </c>
      <c r="V57" s="271"/>
    </row>
    <row r="58" spans="1:22" ht="19" thickBot="1" x14ac:dyDescent="0.5">
      <c r="A58" s="435" t="s">
        <v>264</v>
      </c>
      <c r="B58" s="463"/>
      <c r="C58" s="463"/>
      <c r="D58" s="463"/>
      <c r="E58" s="463"/>
      <c r="F58" s="447">
        <f>SUM(H58:S58)</f>
        <v>3.4131710829493085</v>
      </c>
      <c r="G58" s="448"/>
      <c r="H58" s="227">
        <f>SUM(H54:H57)</f>
        <v>0.1723790322580645</v>
      </c>
      <c r="I58" s="234">
        <f t="shared" ref="I58:S58" si="23">SUM(I54:I57)</f>
        <v>0.32901785714285714</v>
      </c>
      <c r="J58" s="234">
        <f t="shared" si="23"/>
        <v>0.24112903225806454</v>
      </c>
      <c r="K58" s="234">
        <f t="shared" si="23"/>
        <v>0.31270833333333337</v>
      </c>
      <c r="L58" s="234">
        <f t="shared" si="23"/>
        <v>0.35282258064516125</v>
      </c>
      <c r="M58" s="234">
        <f t="shared" si="23"/>
        <v>0.21874999999999997</v>
      </c>
      <c r="N58" s="234">
        <f t="shared" si="23"/>
        <v>0.26209677419354838</v>
      </c>
      <c r="O58" s="234">
        <f t="shared" si="23"/>
        <v>0.27096774193548384</v>
      </c>
      <c r="P58" s="234">
        <f t="shared" si="23"/>
        <v>0.32104166666666667</v>
      </c>
      <c r="Q58" s="234">
        <f t="shared" si="23"/>
        <v>0.40887096774193549</v>
      </c>
      <c r="R58" s="234">
        <f t="shared" si="23"/>
        <v>0.32500000000000001</v>
      </c>
      <c r="S58" s="229">
        <f t="shared" si="23"/>
        <v>0.19838709677419353</v>
      </c>
      <c r="V58" s="272" t="s">
        <v>278</v>
      </c>
    </row>
    <row r="59" spans="1:22" ht="15" outlineLevel="1" thickBot="1" x14ac:dyDescent="0.4">
      <c r="A59" s="261"/>
      <c r="B59" s="261"/>
      <c r="C59" s="261"/>
      <c r="D59" s="261"/>
      <c r="E59" s="261"/>
      <c r="F59" s="262"/>
      <c r="G59" s="262"/>
      <c r="H59" s="263"/>
      <c r="I59" s="263"/>
      <c r="J59" s="263"/>
      <c r="K59" s="263"/>
      <c r="L59" s="263"/>
      <c r="M59" s="263"/>
      <c r="N59" s="263"/>
      <c r="O59" s="263"/>
      <c r="P59" s="263"/>
      <c r="Q59" s="263"/>
      <c r="R59" s="263"/>
      <c r="S59" s="263"/>
      <c r="V59" s="271"/>
    </row>
    <row r="60" spans="1:22" ht="15" outlineLevel="1" thickBot="1" x14ac:dyDescent="0.4">
      <c r="A60" s="168" t="s">
        <v>59</v>
      </c>
      <c r="B60" s="230" t="s">
        <v>114</v>
      </c>
      <c r="C60" s="231" t="s">
        <v>115</v>
      </c>
      <c r="D60" s="230" t="s">
        <v>116</v>
      </c>
      <c r="E60" s="128"/>
      <c r="F60" s="445"/>
      <c r="G60" s="446"/>
      <c r="H60" s="238"/>
      <c r="I60" s="239"/>
      <c r="J60" s="239"/>
      <c r="K60" s="239"/>
      <c r="L60" s="239"/>
      <c r="M60" s="239"/>
      <c r="N60" s="239"/>
      <c r="O60" s="239"/>
      <c r="P60" s="239"/>
      <c r="Q60" s="239"/>
      <c r="R60" s="239"/>
      <c r="S60" s="240"/>
      <c r="V60" s="271"/>
    </row>
    <row r="61" spans="1:22" ht="15" outlineLevel="1" thickBot="1" x14ac:dyDescent="0.4">
      <c r="A61" s="51" t="s">
        <v>110</v>
      </c>
      <c r="B61" s="55">
        <f>'Rain+Other Factors'!S8</f>
        <v>0</v>
      </c>
      <c r="C61" s="55">
        <f>'Rain+Other Factors'!T8</f>
        <v>0</v>
      </c>
      <c r="D61" s="55">
        <f>'Rain+Other Factors'!U8</f>
        <v>0</v>
      </c>
      <c r="E61" s="99"/>
      <c r="F61" s="443">
        <f>SUM(H61:S61)</f>
        <v>0</v>
      </c>
      <c r="G61" s="444"/>
      <c r="H61" s="241">
        <f>+Climate!B35*$D61*HoursPerDayRatio*H$3</f>
        <v>0</v>
      </c>
      <c r="I61" s="232">
        <f>+Climate!C35*$D61*HoursPerDayRatio*I$3</f>
        <v>0</v>
      </c>
      <c r="J61" s="232">
        <f>+Climate!D35*$D61*HoursPerDayRatio*J$3</f>
        <v>0</v>
      </c>
      <c r="K61" s="232">
        <f>+Climate!E35*$D61*HoursPerDayRatio*K$3</f>
        <v>0</v>
      </c>
      <c r="L61" s="232">
        <f>+Climate!F35*$D61*HoursPerDayRatio*L$3</f>
        <v>0</v>
      </c>
      <c r="M61" s="232">
        <f>+Climate!G35*$D61*HoursPerDayRatio*M$3</f>
        <v>0</v>
      </c>
      <c r="N61" s="232">
        <f>+Climate!H35*$D61*HoursPerDayRatio*N$3</f>
        <v>0</v>
      </c>
      <c r="O61" s="232">
        <f>+Climate!I35*$D61*HoursPerDayRatio*O$3</f>
        <v>0</v>
      </c>
      <c r="P61" s="232">
        <f>+Climate!J35*$D61*HoursPerDayRatio*P$3</f>
        <v>0</v>
      </c>
      <c r="Q61" s="232">
        <f>+Climate!K35*$D61*HoursPerDayRatio*Q$3</f>
        <v>0</v>
      </c>
      <c r="R61" s="232">
        <f>+Climate!L35*$D61*HoursPerDayRatio*R$3</f>
        <v>0</v>
      </c>
      <c r="S61" s="233">
        <f>+Climate!M35*$D61*HoursPerDayRatio*S$3</f>
        <v>0</v>
      </c>
      <c r="V61" s="271"/>
    </row>
    <row r="62" spans="1:22" ht="15" outlineLevel="1" thickBot="1" x14ac:dyDescent="0.4">
      <c r="A62" s="52" t="s">
        <v>213</v>
      </c>
      <c r="B62" s="55">
        <f>'Rain+Other Factors'!S9</f>
        <v>0</v>
      </c>
      <c r="C62" s="55">
        <f>'Rain+Other Factors'!T9</f>
        <v>0</v>
      </c>
      <c r="D62" s="55">
        <f>'Rain+Other Factors'!U9</f>
        <v>0</v>
      </c>
      <c r="E62" s="24"/>
      <c r="F62" s="439">
        <f>SUM(H62:S62)</f>
        <v>0</v>
      </c>
      <c r="G62" s="440"/>
      <c r="H62" s="67">
        <f>+Climate!B37*$D62*HoursPerDayRatio*H$3</f>
        <v>0</v>
      </c>
      <c r="I62" s="68">
        <f>+Climate!C37*$D62*HoursPerDayRatio*I$3</f>
        <v>0</v>
      </c>
      <c r="J62" s="68">
        <f>+Climate!D37*$D62*HoursPerDayRatio*J$3</f>
        <v>0</v>
      </c>
      <c r="K62" s="68">
        <f>+Climate!E37*$D62*HoursPerDayRatio*K$3</f>
        <v>0</v>
      </c>
      <c r="L62" s="68">
        <f>+Climate!F37*$D62*HoursPerDayRatio*L$3</f>
        <v>0</v>
      </c>
      <c r="M62" s="68">
        <f>+Climate!G37*$D62*HoursPerDayRatio*M$3</f>
        <v>0</v>
      </c>
      <c r="N62" s="68">
        <f>+Climate!H37*$D62*HoursPerDayRatio*N$3</f>
        <v>0</v>
      </c>
      <c r="O62" s="68">
        <f>+Climate!I37*$D62*HoursPerDayRatio*O$3</f>
        <v>0</v>
      </c>
      <c r="P62" s="68">
        <f>+Climate!J37*$D62*HoursPerDayRatio*P$3</f>
        <v>0</v>
      </c>
      <c r="Q62" s="68">
        <f>+Climate!K37*$D62*HoursPerDayRatio*Q$3</f>
        <v>0</v>
      </c>
      <c r="R62" s="68">
        <f>+Climate!L37*$D62*HoursPerDayRatio*R$3</f>
        <v>0</v>
      </c>
      <c r="S62" s="69">
        <f>+Climate!M37*$D62*HoursPerDayRatio*S$3</f>
        <v>0</v>
      </c>
      <c r="V62" s="271"/>
    </row>
    <row r="63" spans="1:22" ht="15" outlineLevel="1" thickBot="1" x14ac:dyDescent="0.4">
      <c r="A63" s="52" t="s">
        <v>214</v>
      </c>
      <c r="B63" s="55">
        <f>'Rain+Other Factors'!S10</f>
        <v>0.25</v>
      </c>
      <c r="C63" s="55">
        <f>'Rain+Other Factors'!T10</f>
        <v>0</v>
      </c>
      <c r="D63" s="55">
        <f>'Rain+Other Factors'!U10</f>
        <v>0.25</v>
      </c>
      <c r="E63" s="24"/>
      <c r="F63" s="439">
        <f>SUM(H63:S63)</f>
        <v>1.1386938364055299</v>
      </c>
      <c r="G63" s="440"/>
      <c r="H63" s="67">
        <f>+Climate!B39*$D63*HoursPerDayRatio*H$3</f>
        <v>4.9899193548387094E-2</v>
      </c>
      <c r="I63" s="68">
        <f>+Climate!C39*$D63*HoursPerDayRatio*I$3</f>
        <v>6.6294642857142844E-2</v>
      </c>
      <c r="J63" s="68">
        <f>+Climate!D39*$D63*HoursPerDayRatio*J$3</f>
        <v>8.3467741935483869E-2</v>
      </c>
      <c r="K63" s="68">
        <f>+Climate!E39*$D63*HoursPerDayRatio*K$3</f>
        <v>7.7187500000000006E-2</v>
      </c>
      <c r="L63" s="68">
        <f>+Climate!F39*$D63*HoursPerDayRatio*L$3</f>
        <v>0.13608870967741934</v>
      </c>
      <c r="M63" s="68">
        <f>+Climate!G39*$D63*HoursPerDayRatio*M$3</f>
        <v>9.1874999999999984E-2</v>
      </c>
      <c r="N63" s="68">
        <f>+Climate!H39*$D63*HoursPerDayRatio*N$3</f>
        <v>9.0725806451612892E-2</v>
      </c>
      <c r="O63" s="68">
        <f>+Climate!I39*$D63*HoursPerDayRatio*O$3</f>
        <v>0.11612903225806451</v>
      </c>
      <c r="P63" s="68">
        <f>+Climate!J39*$D63*HoursPerDayRatio*P$3</f>
        <v>0.1221875</v>
      </c>
      <c r="Q63" s="68">
        <f>+Climate!K39*$D63*HoursPerDayRatio*Q$3</f>
        <v>0.14153225806451614</v>
      </c>
      <c r="R63" s="68">
        <f>+Climate!L39*$D63*HoursPerDayRatio*R$3</f>
        <v>0.1125</v>
      </c>
      <c r="S63" s="69">
        <f>+Climate!M39*$D63*HoursPerDayRatio*S$3</f>
        <v>5.0806451612903217E-2</v>
      </c>
      <c r="V63" s="271"/>
    </row>
    <row r="64" spans="1:22" ht="15" outlineLevel="1" thickBot="1" x14ac:dyDescent="0.4">
      <c r="A64" s="235" t="s">
        <v>215</v>
      </c>
      <c r="B64" s="55">
        <f>'Rain+Other Factors'!S11</f>
        <v>0.75</v>
      </c>
      <c r="C64" s="55">
        <f>'Rain+Other Factors'!T11</f>
        <v>0</v>
      </c>
      <c r="D64" s="55">
        <f>'Rain+Other Factors'!U11</f>
        <v>0.75</v>
      </c>
      <c r="E64" s="237"/>
      <c r="F64" s="447">
        <f>SUM(H64:S64)</f>
        <v>1.703675115207373</v>
      </c>
      <c r="G64" s="448"/>
      <c r="H64" s="227">
        <f>+Climate!B40*$D64*H$3</f>
        <v>0.10887096774193547</v>
      </c>
      <c r="I64" s="228">
        <f>+Climate!C40*$D64*I$3</f>
        <v>0.29464285714285715</v>
      </c>
      <c r="J64" s="228">
        <f>+Climate!D40*$D64*J$3</f>
        <v>0.11129032258064518</v>
      </c>
      <c r="K64" s="228">
        <f>+Climate!E40*$D64*K$3</f>
        <v>0.23749999999999999</v>
      </c>
      <c r="L64" s="228">
        <f>+Climate!F40*$D64*L$3</f>
        <v>0.12096774193548387</v>
      </c>
      <c r="M64" s="228">
        <f>+Climate!G40*$D64*M$3</f>
        <v>5.2500000000000005E-2</v>
      </c>
      <c r="N64" s="228">
        <f>+Climate!H40*$D64*N$3</f>
        <v>0.12096774193548387</v>
      </c>
      <c r="O64" s="228">
        <f>+Climate!I40*$D64*O$3</f>
        <v>5.8064516129032268E-2</v>
      </c>
      <c r="P64" s="228">
        <f>+Climate!J40*$D64*P$3</f>
        <v>0.11500000000000002</v>
      </c>
      <c r="Q64" s="228">
        <f>+Climate!K40*$D64*Q$3</f>
        <v>0.18870967741935482</v>
      </c>
      <c r="R64" s="228">
        <f>+Climate!L40*$D64*R$3</f>
        <v>0.14999999999999997</v>
      </c>
      <c r="S64" s="229">
        <f>+Climate!M40*$D64*S$3</f>
        <v>0.14516129032258063</v>
      </c>
      <c r="V64" s="271"/>
    </row>
    <row r="65" spans="1:22" ht="15" thickBot="1" x14ac:dyDescent="0.4">
      <c r="A65" s="455" t="s">
        <v>265</v>
      </c>
      <c r="B65" s="456"/>
      <c r="C65" s="456"/>
      <c r="D65" s="456"/>
      <c r="E65" s="457"/>
      <c r="F65" s="447">
        <f>SUM(H65:S65)</f>
        <v>2.8423689516129031</v>
      </c>
      <c r="G65" s="448"/>
      <c r="H65" s="227">
        <f>SUM(H61:H64)</f>
        <v>0.15877016129032256</v>
      </c>
      <c r="I65" s="234">
        <f t="shared" ref="I65:S65" si="24">SUM(I61:I64)</f>
        <v>0.36093750000000002</v>
      </c>
      <c r="J65" s="234">
        <f t="shared" si="24"/>
        <v>0.19475806451612904</v>
      </c>
      <c r="K65" s="234">
        <f t="shared" si="24"/>
        <v>0.31468750000000001</v>
      </c>
      <c r="L65" s="234">
        <f t="shared" si="24"/>
        <v>0.25705645161290325</v>
      </c>
      <c r="M65" s="234">
        <f t="shared" si="24"/>
        <v>0.14437499999999998</v>
      </c>
      <c r="N65" s="234">
        <f t="shared" si="24"/>
        <v>0.21169354838709675</v>
      </c>
      <c r="O65" s="234">
        <f t="shared" si="24"/>
        <v>0.17419354838709677</v>
      </c>
      <c r="P65" s="234">
        <f t="shared" si="24"/>
        <v>0.23718750000000002</v>
      </c>
      <c r="Q65" s="234">
        <f t="shared" si="24"/>
        <v>0.33024193548387093</v>
      </c>
      <c r="R65" s="234">
        <f t="shared" si="24"/>
        <v>0.26249999999999996</v>
      </c>
      <c r="S65" s="229">
        <f t="shared" si="24"/>
        <v>0.19596774193548383</v>
      </c>
      <c r="V65" s="203"/>
    </row>
    <row r="66" spans="1:22" x14ac:dyDescent="0.35">
      <c r="A66" s="261"/>
      <c r="B66" s="261"/>
      <c r="C66" s="261"/>
      <c r="D66" s="261"/>
      <c r="E66" s="261"/>
      <c r="F66" s="262"/>
      <c r="G66" s="262"/>
      <c r="H66" s="263"/>
      <c r="I66" s="263"/>
      <c r="J66" s="263"/>
      <c r="K66" s="263"/>
      <c r="L66" s="263"/>
      <c r="M66" s="263"/>
      <c r="N66" s="263"/>
      <c r="O66" s="263"/>
      <c r="P66" s="263"/>
      <c r="Q66" s="263"/>
      <c r="R66" s="263"/>
      <c r="S66" s="263"/>
    </row>
    <row r="67" spans="1:22" ht="15" thickBot="1" x14ac:dyDescent="0.4">
      <c r="E67" s="37" t="s">
        <v>412</v>
      </c>
    </row>
    <row r="68" spans="1:22" ht="15" thickBot="1" x14ac:dyDescent="0.4">
      <c r="D68" s="435" t="s">
        <v>58</v>
      </c>
      <c r="E68" s="569"/>
      <c r="F68" s="567" t="s">
        <v>233</v>
      </c>
      <c r="G68" s="568"/>
      <c r="H68" s="186">
        <v>1</v>
      </c>
      <c r="I68" s="186">
        <f>+H68+1</f>
        <v>2</v>
      </c>
      <c r="J68" s="186">
        <f t="shared" ref="J68" si="25">+I68+1</f>
        <v>3</v>
      </c>
      <c r="K68" s="186">
        <f t="shared" ref="K68" si="26">+J68+1</f>
        <v>4</v>
      </c>
      <c r="L68" s="186">
        <f t="shared" ref="L68" si="27">+K68+1</f>
        <v>5</v>
      </c>
      <c r="M68" s="186">
        <f t="shared" ref="M68" si="28">+L68+1</f>
        <v>6</v>
      </c>
      <c r="N68" s="186">
        <f t="shared" ref="N68" si="29">+M68+1</f>
        <v>7</v>
      </c>
      <c r="O68" s="186">
        <f t="shared" ref="O68" si="30">+N68+1</f>
        <v>8</v>
      </c>
      <c r="P68" s="186">
        <f t="shared" ref="P68" si="31">+O68+1</f>
        <v>9</v>
      </c>
      <c r="Q68" s="186">
        <f t="shared" ref="Q68" si="32">+P68+1</f>
        <v>10</v>
      </c>
      <c r="R68" s="186">
        <f t="shared" ref="R68" si="33">+Q68+1</f>
        <v>11</v>
      </c>
      <c r="S68" s="186">
        <f t="shared" ref="S68" si="34">+R68+1</f>
        <v>12</v>
      </c>
      <c r="V68" s="431" t="s">
        <v>404</v>
      </c>
    </row>
    <row r="69" spans="1:22" ht="15" thickBot="1" x14ac:dyDescent="0.4">
      <c r="D69" s="320">
        <f>SUM(H69:S69)</f>
        <v>49.72204205069125</v>
      </c>
      <c r="E69" s="321">
        <f>D69/'Project Site Calendar'!$U$37</f>
        <v>0.19498840019878921</v>
      </c>
      <c r="F69" s="567">
        <v>1</v>
      </c>
      <c r="G69" s="568"/>
      <c r="H69" s="244">
        <f>+H37</f>
        <v>1.9233870967741935</v>
      </c>
      <c r="I69" s="245">
        <f>+I37</f>
        <v>3.0790178571428575</v>
      </c>
      <c r="J69" s="245">
        <f t="shared" ref="J69:S69" si="35">+J37</f>
        <v>2.9491935483870968</v>
      </c>
      <c r="K69" s="245">
        <f t="shared" si="35"/>
        <v>3.8118749999999997</v>
      </c>
      <c r="L69" s="245">
        <f t="shared" si="35"/>
        <v>5.564516129032258</v>
      </c>
      <c r="M69" s="245">
        <f t="shared" si="35"/>
        <v>4.2131249999999998</v>
      </c>
      <c r="N69" s="245">
        <f t="shared" si="35"/>
        <v>5.745967741935484</v>
      </c>
      <c r="O69" s="245">
        <f t="shared" si="35"/>
        <v>5.6903225806451614</v>
      </c>
      <c r="P69" s="245">
        <f t="shared" si="35"/>
        <v>5.1462499999999993</v>
      </c>
      <c r="Q69" s="245">
        <f t="shared" si="35"/>
        <v>5.5197580645161297</v>
      </c>
      <c r="R69" s="245">
        <f t="shared" si="35"/>
        <v>3.9375</v>
      </c>
      <c r="S69" s="266">
        <f t="shared" si="35"/>
        <v>2.1411290322580645</v>
      </c>
      <c r="V69" s="432"/>
    </row>
    <row r="70" spans="1:22" ht="15" thickBot="1" x14ac:dyDescent="0.4">
      <c r="D70" s="322">
        <f>SUM(H70:S70)</f>
        <v>20.594488479262672</v>
      </c>
      <c r="E70" s="323">
        <f>D70/'Project Site Calendar'!$U$37</f>
        <v>8.0762699918677142E-2</v>
      </c>
      <c r="F70" s="567">
        <v>2</v>
      </c>
      <c r="G70" s="568"/>
      <c r="H70" s="244">
        <f>+H44</f>
        <v>0.84012096774193545</v>
      </c>
      <c r="I70" s="245">
        <f>+I44</f>
        <v>1.3907142857142856</v>
      </c>
      <c r="J70" s="245">
        <f t="shared" ref="J70:S70" si="36">+J44</f>
        <v>1.2687096774193549</v>
      </c>
      <c r="K70" s="245">
        <f t="shared" si="36"/>
        <v>1.6244999999999998</v>
      </c>
      <c r="L70" s="245">
        <f t="shared" si="36"/>
        <v>2.280241935483871</v>
      </c>
      <c r="M70" s="245">
        <f t="shared" si="36"/>
        <v>1.6721249999999999</v>
      </c>
      <c r="N70" s="245">
        <f t="shared" si="36"/>
        <v>2.225806451612903</v>
      </c>
      <c r="O70" s="245">
        <f t="shared" si="36"/>
        <v>2.229677419354839</v>
      </c>
      <c r="P70" s="245">
        <f t="shared" si="36"/>
        <v>2.1016249999999999</v>
      </c>
      <c r="Q70" s="245">
        <f t="shared" si="36"/>
        <v>2.3242741935483875</v>
      </c>
      <c r="R70" s="245">
        <f t="shared" si="36"/>
        <v>1.6974999999999998</v>
      </c>
      <c r="S70" s="266">
        <f t="shared" si="36"/>
        <v>0.93919354838709679</v>
      </c>
      <c r="V70" s="432"/>
    </row>
    <row r="71" spans="1:22" ht="15" thickBot="1" x14ac:dyDescent="0.4">
      <c r="D71" s="322">
        <f t="shared" ref="D71:D81" si="37">SUM(H71:S71)</f>
        <v>20.366749711981569</v>
      </c>
      <c r="E71" s="323">
        <f>D71/'Project Site Calendar'!$U$37</f>
        <v>7.9869606713653216E-2</v>
      </c>
      <c r="F71" s="567">
        <v>3</v>
      </c>
      <c r="G71" s="568"/>
      <c r="H71" s="244">
        <f>+H51</f>
        <v>0.83014112903225801</v>
      </c>
      <c r="I71" s="245">
        <f>+I51</f>
        <v>1.3774553571428574</v>
      </c>
      <c r="J71" s="245">
        <f t="shared" ref="J71:S71" si="38">+J51</f>
        <v>1.2520161290322582</v>
      </c>
      <c r="K71" s="245">
        <f t="shared" si="38"/>
        <v>1.6090624999999998</v>
      </c>
      <c r="L71" s="245">
        <f t="shared" si="38"/>
        <v>2.253024193548387</v>
      </c>
      <c r="M71" s="245">
        <f t="shared" si="38"/>
        <v>1.6537500000000001</v>
      </c>
      <c r="N71" s="245">
        <f t="shared" si="38"/>
        <v>2.2076612903225805</v>
      </c>
      <c r="O71" s="245">
        <f t="shared" si="38"/>
        <v>2.2064516129032259</v>
      </c>
      <c r="P71" s="245">
        <f t="shared" si="38"/>
        <v>2.0771875</v>
      </c>
      <c r="Q71" s="245">
        <f t="shared" si="38"/>
        <v>2.2959677419354838</v>
      </c>
      <c r="R71" s="245">
        <f t="shared" si="38"/>
        <v>1.6749999999999998</v>
      </c>
      <c r="S71" s="266">
        <f t="shared" si="38"/>
        <v>0.92903225806451606</v>
      </c>
      <c r="V71" s="432"/>
    </row>
    <row r="72" spans="1:22" ht="15" thickBot="1" x14ac:dyDescent="0.4">
      <c r="D72" s="322">
        <f t="shared" si="37"/>
        <v>3.4131710829493085</v>
      </c>
      <c r="E72" s="323">
        <f>D72/'Project Site Calendar'!$U$37</f>
        <v>1.3384984639016896E-2</v>
      </c>
      <c r="F72" s="567">
        <v>4</v>
      </c>
      <c r="G72" s="568"/>
      <c r="H72" s="244">
        <f t="shared" ref="H72:S72" si="39">+H58</f>
        <v>0.1723790322580645</v>
      </c>
      <c r="I72" s="245">
        <f t="shared" si="39"/>
        <v>0.32901785714285714</v>
      </c>
      <c r="J72" s="245">
        <f t="shared" si="39"/>
        <v>0.24112903225806454</v>
      </c>
      <c r="K72" s="245">
        <f t="shared" si="39"/>
        <v>0.31270833333333337</v>
      </c>
      <c r="L72" s="245">
        <f t="shared" si="39"/>
        <v>0.35282258064516125</v>
      </c>
      <c r="M72" s="245">
        <f t="shared" si="39"/>
        <v>0.21874999999999997</v>
      </c>
      <c r="N72" s="245">
        <f t="shared" si="39"/>
        <v>0.26209677419354838</v>
      </c>
      <c r="O72" s="245">
        <f t="shared" si="39"/>
        <v>0.27096774193548384</v>
      </c>
      <c r="P72" s="245">
        <f t="shared" si="39"/>
        <v>0.32104166666666667</v>
      </c>
      <c r="Q72" s="245">
        <f t="shared" si="39"/>
        <v>0.40887096774193549</v>
      </c>
      <c r="R72" s="245">
        <f t="shared" si="39"/>
        <v>0.32500000000000001</v>
      </c>
      <c r="S72" s="266">
        <f t="shared" si="39"/>
        <v>0.19838709677419353</v>
      </c>
      <c r="V72" s="271"/>
    </row>
    <row r="73" spans="1:22" ht="15" thickBot="1" x14ac:dyDescent="0.4">
      <c r="D73" s="322">
        <f t="shared" si="37"/>
        <v>2.8423689516129031</v>
      </c>
      <c r="E73" s="323">
        <f>D73/'Project Site Calendar'!$U$37</f>
        <v>1.1146544908285894E-2</v>
      </c>
      <c r="F73" s="567">
        <v>5</v>
      </c>
      <c r="G73" s="568"/>
      <c r="H73" s="244">
        <f>H65</f>
        <v>0.15877016129032256</v>
      </c>
      <c r="I73" s="245">
        <f t="shared" ref="I73:S73" si="40">I65</f>
        <v>0.36093750000000002</v>
      </c>
      <c r="J73" s="245">
        <f t="shared" si="40"/>
        <v>0.19475806451612904</v>
      </c>
      <c r="K73" s="245">
        <f t="shared" si="40"/>
        <v>0.31468750000000001</v>
      </c>
      <c r="L73" s="245">
        <f t="shared" si="40"/>
        <v>0.25705645161290325</v>
      </c>
      <c r="M73" s="245">
        <f t="shared" si="40"/>
        <v>0.14437499999999998</v>
      </c>
      <c r="N73" s="245">
        <f t="shared" si="40"/>
        <v>0.21169354838709675</v>
      </c>
      <c r="O73" s="245">
        <f t="shared" si="40"/>
        <v>0.17419354838709677</v>
      </c>
      <c r="P73" s="245">
        <f t="shared" si="40"/>
        <v>0.23718750000000002</v>
      </c>
      <c r="Q73" s="245">
        <f t="shared" si="40"/>
        <v>0.33024193548387093</v>
      </c>
      <c r="R73" s="245">
        <f t="shared" si="40"/>
        <v>0.26249999999999996</v>
      </c>
      <c r="S73" s="266">
        <f t="shared" si="40"/>
        <v>0.19596774193548383</v>
      </c>
      <c r="V73" s="271"/>
    </row>
    <row r="74" spans="1:22" ht="15" thickBot="1" x14ac:dyDescent="0.4">
      <c r="D74" s="322">
        <f t="shared" si="37"/>
        <v>1.1246543778801841</v>
      </c>
      <c r="E74" s="323">
        <f>D74/'Project Site Calendar'!$U$37</f>
        <v>4.4104093250203298E-3</v>
      </c>
      <c r="F74" s="567" t="s">
        <v>18</v>
      </c>
      <c r="G74" s="568"/>
      <c r="H74" s="244">
        <f>H5</f>
        <v>0.38709677419354838</v>
      </c>
      <c r="I74" s="245">
        <f t="shared" ref="I74:S74" si="41">I5</f>
        <v>0.36142857142857138</v>
      </c>
      <c r="J74" s="245">
        <f t="shared" si="41"/>
        <v>0.13354838709677422</v>
      </c>
      <c r="K74" s="245">
        <f t="shared" si="41"/>
        <v>0</v>
      </c>
      <c r="L74" s="245">
        <f t="shared" si="41"/>
        <v>0</v>
      </c>
      <c r="M74" s="245">
        <f t="shared" si="41"/>
        <v>0</v>
      </c>
      <c r="N74" s="245">
        <f t="shared" si="41"/>
        <v>0</v>
      </c>
      <c r="O74" s="245">
        <f t="shared" si="41"/>
        <v>0</v>
      </c>
      <c r="P74" s="245">
        <f t="shared" si="41"/>
        <v>0</v>
      </c>
      <c r="Q74" s="245">
        <f t="shared" si="41"/>
        <v>0</v>
      </c>
      <c r="R74" s="245">
        <f t="shared" si="41"/>
        <v>7.9999999999999988E-2</v>
      </c>
      <c r="S74" s="266">
        <f t="shared" si="41"/>
        <v>0.16258064516129034</v>
      </c>
      <c r="V74" s="271"/>
    </row>
    <row r="75" spans="1:22" ht="15" thickBot="1" x14ac:dyDescent="0.4">
      <c r="D75" s="322">
        <f t="shared" si="37"/>
        <v>1.4218279569892474</v>
      </c>
      <c r="E75" s="323">
        <f>D75/'Project Site Calendar'!$U$37</f>
        <v>5.5757959097617544E-3</v>
      </c>
      <c r="F75" s="567" t="s">
        <v>139</v>
      </c>
      <c r="G75" s="568"/>
      <c r="H75" s="244">
        <f>H6</f>
        <v>0</v>
      </c>
      <c r="I75" s="245">
        <f t="shared" ref="I75:S75" si="42">I6</f>
        <v>0</v>
      </c>
      <c r="J75" s="245">
        <f t="shared" si="42"/>
        <v>0</v>
      </c>
      <c r="K75" s="245">
        <f t="shared" si="42"/>
        <v>2.5333333333333336E-2</v>
      </c>
      <c r="L75" s="245">
        <f t="shared" si="42"/>
        <v>0.1129032258064516</v>
      </c>
      <c r="M75" s="245">
        <f t="shared" si="42"/>
        <v>0.36399999999999999</v>
      </c>
      <c r="N75" s="245">
        <f t="shared" si="42"/>
        <v>0.532258064516129</v>
      </c>
      <c r="O75" s="245">
        <f t="shared" si="42"/>
        <v>0.26322580645161292</v>
      </c>
      <c r="P75" s="245">
        <f t="shared" si="42"/>
        <v>0.10733333333333334</v>
      </c>
      <c r="Q75" s="245">
        <f t="shared" si="42"/>
        <v>1.6774193548387099E-2</v>
      </c>
      <c r="R75" s="245">
        <f t="shared" si="42"/>
        <v>0</v>
      </c>
      <c r="S75" s="266">
        <f t="shared" si="42"/>
        <v>0</v>
      </c>
      <c r="V75" s="271"/>
    </row>
    <row r="76" spans="1:22" ht="15" thickBot="1" x14ac:dyDescent="0.4">
      <c r="D76" s="322">
        <f t="shared" si="37"/>
        <v>2</v>
      </c>
      <c r="E76" s="323">
        <f>D76/'Project Site Calendar'!$U$37</f>
        <v>7.8431372549019607E-3</v>
      </c>
      <c r="F76" s="567" t="s">
        <v>20</v>
      </c>
      <c r="G76" s="568"/>
      <c r="H76" s="244">
        <f t="shared" ref="H76:S76" si="43">H7</f>
        <v>0.5</v>
      </c>
      <c r="I76" s="245">
        <f t="shared" si="43"/>
        <v>0</v>
      </c>
      <c r="J76" s="245">
        <f t="shared" si="43"/>
        <v>0</v>
      </c>
      <c r="K76" s="245">
        <f t="shared" si="43"/>
        <v>0</v>
      </c>
      <c r="L76" s="245">
        <f t="shared" si="43"/>
        <v>0</v>
      </c>
      <c r="M76" s="245">
        <f t="shared" si="43"/>
        <v>0</v>
      </c>
      <c r="N76" s="245">
        <f t="shared" si="43"/>
        <v>0</v>
      </c>
      <c r="O76" s="245">
        <f t="shared" si="43"/>
        <v>0</v>
      </c>
      <c r="P76" s="245">
        <f t="shared" si="43"/>
        <v>0</v>
      </c>
      <c r="Q76" s="245">
        <f t="shared" si="43"/>
        <v>0.5</v>
      </c>
      <c r="R76" s="245">
        <f t="shared" si="43"/>
        <v>0.5</v>
      </c>
      <c r="S76" s="266">
        <f t="shared" si="43"/>
        <v>0.5</v>
      </c>
      <c r="V76" s="271"/>
    </row>
    <row r="77" spans="1:22" ht="15" thickBot="1" x14ac:dyDescent="0.4">
      <c r="D77" s="322">
        <f t="shared" si="37"/>
        <v>0</v>
      </c>
      <c r="E77" s="323">
        <f>D77/'Project Site Calendar'!$U$37</f>
        <v>0</v>
      </c>
      <c r="F77" s="567" t="s">
        <v>254</v>
      </c>
      <c r="G77" s="568"/>
      <c r="H77" s="244">
        <f t="shared" ref="H77:S77" si="44">H8</f>
        <v>0</v>
      </c>
      <c r="I77" s="245">
        <f t="shared" si="44"/>
        <v>0</v>
      </c>
      <c r="J77" s="245">
        <f t="shared" si="44"/>
        <v>0</v>
      </c>
      <c r="K77" s="245">
        <f t="shared" si="44"/>
        <v>0</v>
      </c>
      <c r="L77" s="245">
        <f t="shared" si="44"/>
        <v>0</v>
      </c>
      <c r="M77" s="245">
        <f t="shared" si="44"/>
        <v>0</v>
      </c>
      <c r="N77" s="245">
        <f t="shared" si="44"/>
        <v>0</v>
      </c>
      <c r="O77" s="245">
        <f t="shared" si="44"/>
        <v>0</v>
      </c>
      <c r="P77" s="245">
        <f t="shared" si="44"/>
        <v>0</v>
      </c>
      <c r="Q77" s="245">
        <f t="shared" si="44"/>
        <v>0</v>
      </c>
      <c r="R77" s="245">
        <f t="shared" si="44"/>
        <v>0</v>
      </c>
      <c r="S77" s="266">
        <f t="shared" si="44"/>
        <v>0</v>
      </c>
      <c r="V77" s="271"/>
    </row>
    <row r="78" spans="1:22" ht="15" thickBot="1" x14ac:dyDescent="0.4">
      <c r="D78" s="322">
        <f t="shared" si="37"/>
        <v>0</v>
      </c>
      <c r="E78" s="323">
        <f>D78/'Project Site Calendar'!$U$37</f>
        <v>0</v>
      </c>
      <c r="F78" s="567" t="s">
        <v>255</v>
      </c>
      <c r="G78" s="568"/>
      <c r="H78" s="244">
        <f t="shared" ref="H78:S78" si="45">H9</f>
        <v>0</v>
      </c>
      <c r="I78" s="245">
        <f t="shared" si="45"/>
        <v>0</v>
      </c>
      <c r="J78" s="245">
        <f t="shared" si="45"/>
        <v>0</v>
      </c>
      <c r="K78" s="245">
        <f t="shared" si="45"/>
        <v>0</v>
      </c>
      <c r="L78" s="245">
        <f t="shared" si="45"/>
        <v>0</v>
      </c>
      <c r="M78" s="245">
        <f t="shared" si="45"/>
        <v>0</v>
      </c>
      <c r="N78" s="245">
        <f t="shared" si="45"/>
        <v>0</v>
      </c>
      <c r="O78" s="245">
        <f t="shared" si="45"/>
        <v>0</v>
      </c>
      <c r="P78" s="245">
        <f t="shared" si="45"/>
        <v>0</v>
      </c>
      <c r="Q78" s="245">
        <f t="shared" si="45"/>
        <v>0</v>
      </c>
      <c r="R78" s="245">
        <f t="shared" si="45"/>
        <v>0</v>
      </c>
      <c r="S78" s="266">
        <f t="shared" si="45"/>
        <v>0</v>
      </c>
      <c r="V78" s="271"/>
    </row>
    <row r="79" spans="1:22" ht="15" thickBot="1" x14ac:dyDescent="0.4">
      <c r="D79" s="322">
        <f t="shared" si="37"/>
        <v>2</v>
      </c>
      <c r="E79" s="323">
        <f>D79/'Project Site Calendar'!$U$37</f>
        <v>7.8431372549019607E-3</v>
      </c>
      <c r="F79" s="567" t="s">
        <v>256</v>
      </c>
      <c r="G79" s="568"/>
      <c r="H79" s="244">
        <f t="shared" ref="H79:S79" si="46">H10</f>
        <v>0</v>
      </c>
      <c r="I79" s="245">
        <f t="shared" si="46"/>
        <v>0</v>
      </c>
      <c r="J79" s="245">
        <f t="shared" si="46"/>
        <v>0</v>
      </c>
      <c r="K79" s="245">
        <f t="shared" si="46"/>
        <v>0</v>
      </c>
      <c r="L79" s="245">
        <f t="shared" si="46"/>
        <v>0</v>
      </c>
      <c r="M79" s="245">
        <f t="shared" si="46"/>
        <v>0.5</v>
      </c>
      <c r="N79" s="245">
        <f t="shared" si="46"/>
        <v>0</v>
      </c>
      <c r="O79" s="245">
        <f t="shared" si="46"/>
        <v>0.5</v>
      </c>
      <c r="P79" s="245">
        <f t="shared" si="46"/>
        <v>0</v>
      </c>
      <c r="Q79" s="245">
        <f t="shared" si="46"/>
        <v>0.5</v>
      </c>
      <c r="R79" s="245">
        <f t="shared" si="46"/>
        <v>0</v>
      </c>
      <c r="S79" s="266">
        <f t="shared" si="46"/>
        <v>0.5</v>
      </c>
      <c r="V79" s="271"/>
    </row>
    <row r="80" spans="1:22" ht="15" thickBot="1" x14ac:dyDescent="0.4">
      <c r="D80" s="322">
        <f t="shared" si="37"/>
        <v>0</v>
      </c>
      <c r="E80" s="323">
        <f>D80/'Project Site Calendar'!$U$37</f>
        <v>0</v>
      </c>
      <c r="F80" s="567" t="s">
        <v>27</v>
      </c>
      <c r="G80" s="568"/>
      <c r="H80" s="244">
        <f t="shared" ref="H80:S80" si="47">H11</f>
        <v>0</v>
      </c>
      <c r="I80" s="245">
        <f t="shared" si="47"/>
        <v>0</v>
      </c>
      <c r="J80" s="245">
        <f t="shared" si="47"/>
        <v>0</v>
      </c>
      <c r="K80" s="245">
        <f t="shared" si="47"/>
        <v>0</v>
      </c>
      <c r="L80" s="245">
        <f t="shared" si="47"/>
        <v>0</v>
      </c>
      <c r="M80" s="245">
        <f t="shared" si="47"/>
        <v>0</v>
      </c>
      <c r="N80" s="245">
        <f t="shared" si="47"/>
        <v>0</v>
      </c>
      <c r="O80" s="245">
        <f t="shared" si="47"/>
        <v>0</v>
      </c>
      <c r="P80" s="245">
        <f t="shared" si="47"/>
        <v>0</v>
      </c>
      <c r="Q80" s="245">
        <f t="shared" si="47"/>
        <v>0</v>
      </c>
      <c r="R80" s="245">
        <f t="shared" si="47"/>
        <v>0</v>
      </c>
      <c r="S80" s="266">
        <f t="shared" si="47"/>
        <v>0</v>
      </c>
      <c r="V80" s="271"/>
    </row>
    <row r="81" spans="4:22" ht="15" thickBot="1" x14ac:dyDescent="0.4">
      <c r="D81" s="324">
        <f t="shared" si="37"/>
        <v>0</v>
      </c>
      <c r="E81" s="325">
        <f>D81/'Project Site Calendar'!$U$37</f>
        <v>0</v>
      </c>
      <c r="F81" s="567" t="s">
        <v>28</v>
      </c>
      <c r="G81" s="568"/>
      <c r="H81" s="244">
        <f t="shared" ref="H81:S81" si="48">H12</f>
        <v>0</v>
      </c>
      <c r="I81" s="245">
        <f t="shared" si="48"/>
        <v>0</v>
      </c>
      <c r="J81" s="245">
        <f t="shared" si="48"/>
        <v>0</v>
      </c>
      <c r="K81" s="245">
        <f t="shared" si="48"/>
        <v>0</v>
      </c>
      <c r="L81" s="245">
        <f t="shared" si="48"/>
        <v>0</v>
      </c>
      <c r="M81" s="245">
        <f t="shared" si="48"/>
        <v>0</v>
      </c>
      <c r="N81" s="245">
        <f t="shared" si="48"/>
        <v>0</v>
      </c>
      <c r="O81" s="245">
        <f t="shared" si="48"/>
        <v>0</v>
      </c>
      <c r="P81" s="245">
        <f t="shared" si="48"/>
        <v>0</v>
      </c>
      <c r="Q81" s="245">
        <f t="shared" si="48"/>
        <v>0</v>
      </c>
      <c r="R81" s="245">
        <f t="shared" si="48"/>
        <v>0</v>
      </c>
      <c r="S81" s="266">
        <f t="shared" si="48"/>
        <v>0</v>
      </c>
      <c r="V81" s="203"/>
    </row>
  </sheetData>
  <protectedRanges>
    <protectedRange algorithmName="SHA-512" hashValue="hpy/Yy05ruPhxMOO1ptW8dT24/e7Eon5PuiU0/gf/A2/dSmfsOQFgF3QkvdyREOwbHETxE4kBiU7grVPtBwerw==" saltValue="Fxkss05XFbYHsx7eMN3jmQ==" spinCount="100000" sqref="A4:S12" name="WeatherCalcs"/>
  </protectedRanges>
  <mergeCells count="91">
    <mergeCell ref="F47:G47"/>
    <mergeCell ref="F48:G48"/>
    <mergeCell ref="F49:G49"/>
    <mergeCell ref="F50:G50"/>
    <mergeCell ref="A51:E51"/>
    <mergeCell ref="F51:G51"/>
    <mergeCell ref="A58:E58"/>
    <mergeCell ref="F58:G58"/>
    <mergeCell ref="F53:G53"/>
    <mergeCell ref="F54:G54"/>
    <mergeCell ref="F55:G55"/>
    <mergeCell ref="F56:G56"/>
    <mergeCell ref="F57:G57"/>
    <mergeCell ref="A37:E37"/>
    <mergeCell ref="F37:G37"/>
    <mergeCell ref="F39:G39"/>
    <mergeCell ref="F40:G40"/>
    <mergeCell ref="F41:G41"/>
    <mergeCell ref="F42:G42"/>
    <mergeCell ref="F43:G43"/>
    <mergeCell ref="A44:E44"/>
    <mergeCell ref="F44:G44"/>
    <mergeCell ref="F46:G46"/>
    <mergeCell ref="F36:G36"/>
    <mergeCell ref="A25:E26"/>
    <mergeCell ref="F25:G26"/>
    <mergeCell ref="A27:E27"/>
    <mergeCell ref="F27:G27"/>
    <mergeCell ref="A28:G28"/>
    <mergeCell ref="A9:E9"/>
    <mergeCell ref="F9:G9"/>
    <mergeCell ref="A10:E10"/>
    <mergeCell ref="F10:G10"/>
    <mergeCell ref="A11:E11"/>
    <mergeCell ref="F11:G11"/>
    <mergeCell ref="A8:E8"/>
    <mergeCell ref="F8:G8"/>
    <mergeCell ref="A7:E7"/>
    <mergeCell ref="F7:G7"/>
    <mergeCell ref="A4:E4"/>
    <mergeCell ref="F4:G4"/>
    <mergeCell ref="F5:G5"/>
    <mergeCell ref="F6:G6"/>
    <mergeCell ref="H1:S1"/>
    <mergeCell ref="A1:E2"/>
    <mergeCell ref="F1:G2"/>
    <mergeCell ref="A5:D5"/>
    <mergeCell ref="A6:D6"/>
    <mergeCell ref="A65:E65"/>
    <mergeCell ref="F65:G65"/>
    <mergeCell ref="F74:G74"/>
    <mergeCell ref="F75:G75"/>
    <mergeCell ref="F68:G68"/>
    <mergeCell ref="F69:G69"/>
    <mergeCell ref="F70:G70"/>
    <mergeCell ref="F71:G71"/>
    <mergeCell ref="F72:G72"/>
    <mergeCell ref="F73:G73"/>
    <mergeCell ref="D68:E68"/>
    <mergeCell ref="F79:G79"/>
    <mergeCell ref="F80:G80"/>
    <mergeCell ref="F81:G81"/>
    <mergeCell ref="V6:V10"/>
    <mergeCell ref="F60:G60"/>
    <mergeCell ref="F61:G61"/>
    <mergeCell ref="F62:G62"/>
    <mergeCell ref="F63:G63"/>
    <mergeCell ref="F64:G64"/>
    <mergeCell ref="V25:V28"/>
    <mergeCell ref="U4:U10"/>
    <mergeCell ref="U12:U14"/>
    <mergeCell ref="H25:S25"/>
    <mergeCell ref="K16:S16"/>
    <mergeCell ref="K17:S17"/>
    <mergeCell ref="F32:G32"/>
    <mergeCell ref="V11:V18"/>
    <mergeCell ref="V68:V71"/>
    <mergeCell ref="F76:G76"/>
    <mergeCell ref="F77:G77"/>
    <mergeCell ref="F78:G78"/>
    <mergeCell ref="A15:G15"/>
    <mergeCell ref="A16:G17"/>
    <mergeCell ref="A14:E14"/>
    <mergeCell ref="F14:G14"/>
    <mergeCell ref="A12:E12"/>
    <mergeCell ref="F12:G12"/>
    <mergeCell ref="A13:E13"/>
    <mergeCell ref="F13:G13"/>
    <mergeCell ref="F33:G33"/>
    <mergeCell ref="F34:G34"/>
    <mergeCell ref="F35:G35"/>
  </mergeCells>
  <conditionalFormatting sqref="B61:B64">
    <cfRule type="colorScale" priority="17">
      <colorScale>
        <cfvo type="min"/>
        <cfvo type="percentile" val="50"/>
        <cfvo type="max"/>
        <color rgb="FF63BE7B"/>
        <color rgb="FFFCFCFF"/>
        <color rgb="FFF8696B"/>
      </colorScale>
    </cfRule>
  </conditionalFormatting>
  <conditionalFormatting sqref="B33:C36">
    <cfRule type="colorScale" priority="37">
      <colorScale>
        <cfvo type="min"/>
        <cfvo type="percentile" val="50"/>
        <cfvo type="max"/>
        <color rgb="FF63BE7B"/>
        <color rgb="FFFCFCFF"/>
        <color rgb="FFF8696B"/>
      </colorScale>
    </cfRule>
  </conditionalFormatting>
  <conditionalFormatting sqref="B40:C43">
    <cfRule type="colorScale" priority="32">
      <colorScale>
        <cfvo type="min"/>
        <cfvo type="percentile" val="50"/>
        <cfvo type="max"/>
        <color rgb="FF63BE7B"/>
        <color rgb="FFFCFCFF"/>
        <color rgb="FFF8696B"/>
      </colorScale>
    </cfRule>
  </conditionalFormatting>
  <conditionalFormatting sqref="B47:C50">
    <cfRule type="colorScale" priority="27">
      <colorScale>
        <cfvo type="min"/>
        <cfvo type="percentile" val="50"/>
        <cfvo type="max"/>
        <color rgb="FF63BE7B"/>
        <color rgb="FFFCFCFF"/>
        <color rgb="FFF8696B"/>
      </colorScale>
    </cfRule>
  </conditionalFormatting>
  <conditionalFormatting sqref="B54:C57">
    <cfRule type="colorScale" priority="22">
      <colorScale>
        <cfvo type="min"/>
        <cfvo type="percentile" val="50"/>
        <cfvo type="max"/>
        <color rgb="FF63BE7B"/>
        <color rgb="FFFCFCFF"/>
        <color rgb="FFF8696B"/>
      </colorScale>
    </cfRule>
  </conditionalFormatting>
  <conditionalFormatting sqref="B33:D36">
    <cfRule type="colorScale" priority="40">
      <colorScale>
        <cfvo type="min"/>
        <cfvo type="percentile" val="50"/>
        <cfvo type="max"/>
        <color rgb="FF63BE7B"/>
        <color rgb="FFFCFCFF"/>
        <color rgb="FFF8696B"/>
      </colorScale>
    </cfRule>
    <cfRule type="colorScale" priority="36">
      <colorScale>
        <cfvo type="min"/>
        <cfvo type="percentile" val="50"/>
        <cfvo type="max"/>
        <color rgb="FF63BE7B"/>
        <color rgb="FFFCFCFF"/>
        <color rgb="FFF8696B"/>
      </colorScale>
    </cfRule>
  </conditionalFormatting>
  <conditionalFormatting sqref="B40:D43">
    <cfRule type="colorScale" priority="35">
      <colorScale>
        <cfvo type="min"/>
        <cfvo type="percentile" val="50"/>
        <cfvo type="max"/>
        <color rgb="FF63BE7B"/>
        <color rgb="FFFCFCFF"/>
        <color rgb="FFF8696B"/>
      </colorScale>
    </cfRule>
    <cfRule type="colorScale" priority="31">
      <colorScale>
        <cfvo type="min"/>
        <cfvo type="percentile" val="50"/>
        <cfvo type="max"/>
        <color rgb="FF63BE7B"/>
        <color rgb="FFFCFCFF"/>
        <color rgb="FFF8696B"/>
      </colorScale>
    </cfRule>
  </conditionalFormatting>
  <conditionalFormatting sqref="B47:D50">
    <cfRule type="colorScale" priority="30">
      <colorScale>
        <cfvo type="min"/>
        <cfvo type="percentile" val="50"/>
        <cfvo type="max"/>
        <color rgb="FF63BE7B"/>
        <color rgb="FFFCFCFF"/>
        <color rgb="FFF8696B"/>
      </colorScale>
    </cfRule>
    <cfRule type="colorScale" priority="26">
      <colorScale>
        <cfvo type="min"/>
        <cfvo type="percentile" val="50"/>
        <cfvo type="max"/>
        <color rgb="FF63BE7B"/>
        <color rgb="FFFCFCFF"/>
        <color rgb="FFF8696B"/>
      </colorScale>
    </cfRule>
  </conditionalFormatting>
  <conditionalFormatting sqref="B54:D57">
    <cfRule type="colorScale" priority="25">
      <colorScale>
        <cfvo type="min"/>
        <cfvo type="percentile" val="50"/>
        <cfvo type="max"/>
        <color rgb="FF63BE7B"/>
        <color rgb="FFFCFCFF"/>
        <color rgb="FFF8696B"/>
      </colorScale>
    </cfRule>
    <cfRule type="colorScale" priority="21">
      <colorScale>
        <cfvo type="min"/>
        <cfvo type="percentile" val="50"/>
        <cfvo type="max"/>
        <color rgb="FF63BE7B"/>
        <color rgb="FFFCFCFF"/>
        <color rgb="FFF8696B"/>
      </colorScale>
    </cfRule>
  </conditionalFormatting>
  <conditionalFormatting sqref="B61:D64">
    <cfRule type="colorScale" priority="16">
      <colorScale>
        <cfvo type="min"/>
        <cfvo type="percentile" val="50"/>
        <cfvo type="max"/>
        <color rgb="FF63BE7B"/>
        <color rgb="FFFCFCFF"/>
        <color rgb="FFF8696B"/>
      </colorScale>
    </cfRule>
    <cfRule type="colorScale" priority="20">
      <colorScale>
        <cfvo type="min"/>
        <cfvo type="percentile" val="50"/>
        <cfvo type="max"/>
        <color rgb="FF63BE7B"/>
        <color rgb="FFFCFCFF"/>
        <color rgb="FFF8696B"/>
      </colorScale>
    </cfRule>
  </conditionalFormatting>
  <conditionalFormatting sqref="C33:C36">
    <cfRule type="colorScale" priority="38">
      <colorScale>
        <cfvo type="min"/>
        <cfvo type="percentile" val="50"/>
        <cfvo type="max"/>
        <color rgb="FF63BE7B"/>
        <color rgb="FFFCFCFF"/>
        <color rgb="FFF8696B"/>
      </colorScale>
    </cfRule>
  </conditionalFormatting>
  <conditionalFormatting sqref="C40:C43">
    <cfRule type="colorScale" priority="33">
      <colorScale>
        <cfvo type="min"/>
        <cfvo type="percentile" val="50"/>
        <cfvo type="max"/>
        <color rgb="FF63BE7B"/>
        <color rgb="FFFCFCFF"/>
        <color rgb="FFF8696B"/>
      </colorScale>
    </cfRule>
  </conditionalFormatting>
  <conditionalFormatting sqref="C47:C50">
    <cfRule type="colorScale" priority="28">
      <colorScale>
        <cfvo type="min"/>
        <cfvo type="percentile" val="50"/>
        <cfvo type="max"/>
        <color rgb="FF63BE7B"/>
        <color rgb="FFFCFCFF"/>
        <color rgb="FFF8696B"/>
      </colorScale>
    </cfRule>
  </conditionalFormatting>
  <conditionalFormatting sqref="C54:C57">
    <cfRule type="colorScale" priority="23">
      <colorScale>
        <cfvo type="min"/>
        <cfvo type="percentile" val="50"/>
        <cfvo type="max"/>
        <color rgb="FF63BE7B"/>
        <color rgb="FFFCFCFF"/>
        <color rgb="FFF8696B"/>
      </colorScale>
    </cfRule>
  </conditionalFormatting>
  <conditionalFormatting sqref="C61:C64">
    <cfRule type="colorScale" priority="1">
      <colorScale>
        <cfvo type="min"/>
        <cfvo type="percentile" val="50"/>
        <cfvo type="max"/>
        <color rgb="FF63BE7B"/>
        <color rgb="FFFCFCFF"/>
        <color rgb="FFF8696B"/>
      </colorScale>
    </cfRule>
    <cfRule type="colorScale" priority="18">
      <colorScale>
        <cfvo type="min"/>
        <cfvo type="percentile" val="50"/>
        <cfvo type="max"/>
        <color rgb="FF63BE7B"/>
        <color rgb="FFFCFCFF"/>
        <color rgb="FFF8696B"/>
      </colorScale>
    </cfRule>
  </conditionalFormatting>
  <conditionalFormatting sqref="C61:D61">
    <cfRule type="colorScale" priority="15">
      <colorScale>
        <cfvo type="min"/>
        <cfvo type="percentile" val="50"/>
        <cfvo type="max"/>
        <color rgb="FF63BE7B"/>
        <color rgb="FFFCFCFF"/>
        <color rgb="FFF8696B"/>
      </colorScale>
    </cfRule>
  </conditionalFormatting>
  <conditionalFormatting sqref="C62:D64">
    <cfRule type="colorScale" priority="14">
      <colorScale>
        <cfvo type="min"/>
        <cfvo type="percentile" val="50"/>
        <cfvo type="max"/>
        <color rgb="FF63BE7B"/>
        <color rgb="FFFCFCFF"/>
        <color rgb="FFF8696B"/>
      </colorScale>
    </cfRule>
  </conditionalFormatting>
  <conditionalFormatting sqref="D21">
    <cfRule type="cellIs" dxfId="19" priority="7" operator="equal">
      <formula>"High"</formula>
    </cfRule>
    <cfRule type="cellIs" dxfId="18" priority="6" operator="equal">
      <formula>"Med"</formula>
    </cfRule>
    <cfRule type="cellIs" dxfId="17" priority="5" operator="equal">
      <formula>"Low"</formula>
    </cfRule>
  </conditionalFormatting>
  <conditionalFormatting sqref="D33:D36">
    <cfRule type="colorScale" priority="39">
      <colorScale>
        <cfvo type="min"/>
        <cfvo type="percentile" val="50"/>
        <cfvo type="max"/>
        <color rgb="FF63BE7B"/>
        <color rgb="FFFCFCFF"/>
        <color rgb="FFF8696B"/>
      </colorScale>
    </cfRule>
  </conditionalFormatting>
  <conditionalFormatting sqref="D40:D43">
    <cfRule type="colorScale" priority="34">
      <colorScale>
        <cfvo type="min"/>
        <cfvo type="percentile" val="50"/>
        <cfvo type="max"/>
        <color rgb="FF63BE7B"/>
        <color rgb="FFFCFCFF"/>
        <color rgb="FFF8696B"/>
      </colorScale>
    </cfRule>
  </conditionalFormatting>
  <conditionalFormatting sqref="D47:D50">
    <cfRule type="colorScale" priority="29">
      <colorScale>
        <cfvo type="min"/>
        <cfvo type="percentile" val="50"/>
        <cfvo type="max"/>
        <color rgb="FF63BE7B"/>
        <color rgb="FFFCFCFF"/>
        <color rgb="FFF8696B"/>
      </colorScale>
    </cfRule>
  </conditionalFormatting>
  <conditionalFormatting sqref="D54:D57">
    <cfRule type="colorScale" priority="24">
      <colorScale>
        <cfvo type="min"/>
        <cfvo type="percentile" val="50"/>
        <cfvo type="max"/>
        <color rgb="FF63BE7B"/>
        <color rgb="FFFCFCFF"/>
        <color rgb="FFF8696B"/>
      </colorScale>
    </cfRule>
  </conditionalFormatting>
  <conditionalFormatting sqref="D61:D64">
    <cfRule type="colorScale" priority="19">
      <colorScale>
        <cfvo type="min"/>
        <cfvo type="percentile" val="50"/>
        <cfvo type="max"/>
        <color rgb="FF63BE7B"/>
        <color rgb="FFFCFCFF"/>
        <color rgb="FFF8696B"/>
      </colorScale>
    </cfRule>
  </conditionalFormatting>
  <conditionalFormatting sqref="H20:S23">
    <cfRule type="cellIs" dxfId="16" priority="4" operator="equal">
      <formula>"High"</formula>
    </cfRule>
    <cfRule type="cellIs" dxfId="15" priority="3" operator="equal">
      <formula>"Med"</formula>
    </cfRule>
    <cfRule type="cellIs" dxfId="14" priority="2" operator="equal">
      <formula>"Low"</formula>
    </cfRule>
  </conditionalFormatting>
  <pageMargins left="0.7" right="0.7" top="0.75" bottom="0.75" header="0.3" footer="0.3"/>
  <pageSetup paperSize="9" scale="84"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DF63"/>
  <sheetViews>
    <sheetView showZeros="0" topLeftCell="A34" zoomScale="85" zoomScaleNormal="85" workbookViewId="0">
      <selection activeCell="D10" sqref="D10"/>
    </sheetView>
  </sheetViews>
  <sheetFormatPr defaultRowHeight="14.5" outlineLevelRow="1" outlineLevelCol="2" x14ac:dyDescent="0.35"/>
  <cols>
    <col min="1" max="1" width="19.6328125" customWidth="1"/>
    <col min="2" max="2" width="22.453125" customWidth="1"/>
    <col min="3" max="3" width="4.54296875" bestFit="1" customWidth="1"/>
    <col min="4" max="4" width="12.453125" bestFit="1" customWidth="1"/>
    <col min="5" max="5" width="11" customWidth="1"/>
    <col min="6" max="6" width="9.36328125" customWidth="1"/>
    <col min="7" max="7" width="9.36328125" customWidth="1" outlineLevel="1"/>
    <col min="8" max="8" width="2.6328125" customWidth="1"/>
    <col min="9" max="44" width="4" customWidth="1"/>
    <col min="45" max="52" width="4.36328125" customWidth="1"/>
    <col min="53" max="104" width="2.6328125" customWidth="1" outlineLevel="2"/>
    <col min="105" max="105" width="3.54296875" customWidth="1"/>
    <col min="106" max="106" width="12.36328125" customWidth="1"/>
    <col min="108" max="108" width="9.90625" bestFit="1" customWidth="1"/>
    <col min="109" max="109" width="9.08984375" customWidth="1"/>
    <col min="110" max="110" width="5.54296875" customWidth="1"/>
  </cols>
  <sheetData>
    <row r="1" spans="1:110" ht="15" thickBot="1" x14ac:dyDescent="0.4">
      <c r="D1" s="297"/>
      <c r="E1" s="298"/>
    </row>
    <row r="2" spans="1:110" ht="18.5" x14ac:dyDescent="0.45">
      <c r="A2" s="348" t="s">
        <v>172</v>
      </c>
      <c r="B2" s="349"/>
      <c r="C2" s="349"/>
      <c r="D2" s="349"/>
      <c r="E2" s="349"/>
      <c r="F2" s="349"/>
      <c r="G2" s="349"/>
      <c r="H2" s="349"/>
      <c r="I2" s="349"/>
      <c r="J2" s="349"/>
      <c r="K2" s="349"/>
      <c r="L2" s="349"/>
      <c r="M2" s="349"/>
      <c r="N2" s="349"/>
      <c r="O2" s="349"/>
      <c r="P2" s="349"/>
      <c r="Q2" s="349"/>
      <c r="R2" s="349"/>
      <c r="S2" s="349"/>
      <c r="T2" s="349"/>
      <c r="U2" s="349"/>
      <c r="V2" s="349"/>
      <c r="W2" s="349"/>
      <c r="X2" s="349"/>
      <c r="Y2" s="349"/>
      <c r="Z2" s="349"/>
      <c r="AA2" s="349"/>
      <c r="AB2" s="349"/>
      <c r="AC2" s="349"/>
      <c r="AD2" s="349"/>
      <c r="AE2" s="349"/>
      <c r="AF2" s="349"/>
      <c r="AG2" s="349"/>
      <c r="AH2" s="349"/>
      <c r="AI2" s="349"/>
      <c r="AJ2" s="349"/>
      <c r="AK2" s="349"/>
      <c r="AL2" s="349"/>
      <c r="AM2" s="349"/>
      <c r="AN2" s="349"/>
      <c r="AO2" s="349"/>
      <c r="AP2" s="349"/>
      <c r="AQ2" s="349"/>
      <c r="AR2" s="349"/>
      <c r="AS2" s="349"/>
      <c r="AT2" s="349"/>
      <c r="AU2" s="349"/>
      <c r="AV2" s="349"/>
      <c r="AW2" s="349"/>
      <c r="AX2" s="349"/>
      <c r="AY2" s="349"/>
      <c r="AZ2" s="349"/>
      <c r="BA2" s="349"/>
      <c r="BB2" s="349"/>
      <c r="BC2" s="349"/>
      <c r="BD2" s="349"/>
      <c r="BE2" s="349"/>
      <c r="BF2" s="349"/>
      <c r="BG2" s="349"/>
      <c r="BH2" s="349"/>
      <c r="BI2" s="349"/>
      <c r="BJ2" s="349"/>
      <c r="BK2" s="349"/>
      <c r="BL2" s="349"/>
      <c r="BM2" s="349"/>
      <c r="BN2" s="349"/>
      <c r="BO2" s="349"/>
      <c r="BP2" s="349"/>
      <c r="BQ2" s="349"/>
      <c r="BR2" s="349"/>
      <c r="BS2" s="349"/>
      <c r="BT2" s="349"/>
      <c r="BU2" s="349"/>
      <c r="BV2" s="349"/>
      <c r="BW2" s="349"/>
      <c r="BX2" s="349"/>
      <c r="BY2" s="349"/>
      <c r="BZ2" s="349"/>
      <c r="CA2" s="349"/>
      <c r="CB2" s="349"/>
      <c r="CC2" s="349"/>
      <c r="CD2" s="349"/>
      <c r="CE2" s="349"/>
      <c r="CF2" s="349"/>
      <c r="CG2" s="349"/>
      <c r="CH2" s="349"/>
      <c r="CI2" s="349"/>
      <c r="CJ2" s="349"/>
      <c r="CK2" s="349"/>
      <c r="CL2" s="349"/>
      <c r="CM2" s="349"/>
      <c r="CN2" s="349"/>
      <c r="CO2" s="349"/>
      <c r="CP2" s="349"/>
      <c r="CQ2" s="349"/>
      <c r="CR2" s="349"/>
      <c r="CS2" s="349"/>
      <c r="CT2" s="349"/>
      <c r="CU2" s="349"/>
      <c r="CV2" s="349"/>
      <c r="CW2" s="349"/>
      <c r="CX2" s="349"/>
      <c r="CY2" s="349"/>
      <c r="CZ2" s="349"/>
      <c r="DA2" s="1"/>
      <c r="DB2" s="335" t="s">
        <v>184</v>
      </c>
      <c r="DC2" s="336"/>
      <c r="DD2" s="336"/>
      <c r="DE2" s="336"/>
      <c r="DF2" s="337"/>
    </row>
    <row r="3" spans="1:110" ht="18.5" x14ac:dyDescent="0.45">
      <c r="A3" s="350" t="s">
        <v>173</v>
      </c>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c r="CZ3" s="351"/>
      <c r="DA3" s="1"/>
      <c r="DB3" s="338"/>
      <c r="DC3" s="339"/>
      <c r="DD3" s="339"/>
      <c r="DE3" s="339"/>
      <c r="DF3" s="340"/>
    </row>
    <row r="4" spans="1:110" ht="19" thickBot="1" x14ac:dyDescent="0.5">
      <c r="A4" s="165" t="s">
        <v>174</v>
      </c>
      <c r="B4" s="166">
        <f ca="1">TODAY()</f>
        <v>46312</v>
      </c>
      <c r="C4" s="106"/>
      <c r="D4" s="353" t="s">
        <v>177</v>
      </c>
      <c r="E4" s="361"/>
      <c r="F4" s="361"/>
      <c r="G4" s="361"/>
      <c r="H4" s="361"/>
      <c r="I4" s="361"/>
      <c r="J4" s="361"/>
      <c r="K4" s="361"/>
      <c r="L4" s="361"/>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6"/>
      <c r="CT4" s="106"/>
      <c r="CU4" s="106"/>
      <c r="CV4" s="106"/>
      <c r="CW4" s="106"/>
      <c r="CX4" s="106"/>
      <c r="CY4" s="106"/>
      <c r="CZ4" s="106"/>
      <c r="DA4" s="1"/>
      <c r="DB4" s="338"/>
      <c r="DC4" s="339"/>
      <c r="DD4" s="339"/>
      <c r="DE4" s="339"/>
      <c r="DF4" s="340"/>
    </row>
    <row r="5" spans="1:110" ht="19" thickBot="1" x14ac:dyDescent="0.5">
      <c r="A5" s="165" t="s">
        <v>175</v>
      </c>
      <c r="B5" s="167" t="s">
        <v>176</v>
      </c>
      <c r="D5" s="346" t="s">
        <v>170</v>
      </c>
      <c r="E5" s="347"/>
      <c r="F5" s="103"/>
      <c r="G5" s="103"/>
      <c r="H5" s="129">
        <v>0</v>
      </c>
      <c r="I5" s="89">
        <f>+H5+1</f>
        <v>1</v>
      </c>
      <c r="J5" s="89">
        <f t="shared" ref="J5:BU5" si="0">+I5+1</f>
        <v>2</v>
      </c>
      <c r="K5" s="89">
        <f t="shared" si="0"/>
        <v>3</v>
      </c>
      <c r="L5" s="89">
        <f t="shared" si="0"/>
        <v>4</v>
      </c>
      <c r="M5" s="89">
        <f t="shared" si="0"/>
        <v>5</v>
      </c>
      <c r="N5" s="89">
        <f t="shared" si="0"/>
        <v>6</v>
      </c>
      <c r="O5" s="89">
        <f t="shared" si="0"/>
        <v>7</v>
      </c>
      <c r="P5" s="89">
        <f t="shared" si="0"/>
        <v>8</v>
      </c>
      <c r="Q5" s="89">
        <f t="shared" si="0"/>
        <v>9</v>
      </c>
      <c r="R5" s="89">
        <f t="shared" si="0"/>
        <v>10</v>
      </c>
      <c r="S5" s="89">
        <f t="shared" si="0"/>
        <v>11</v>
      </c>
      <c r="T5" s="89">
        <f t="shared" si="0"/>
        <v>12</v>
      </c>
      <c r="U5" s="129">
        <f t="shared" si="0"/>
        <v>13</v>
      </c>
      <c r="V5" s="129">
        <f t="shared" si="0"/>
        <v>14</v>
      </c>
      <c r="W5" s="129">
        <f t="shared" si="0"/>
        <v>15</v>
      </c>
      <c r="X5" s="129">
        <f t="shared" si="0"/>
        <v>16</v>
      </c>
      <c r="Y5" s="129">
        <f t="shared" si="0"/>
        <v>17</v>
      </c>
      <c r="Z5" s="129">
        <f t="shared" si="0"/>
        <v>18</v>
      </c>
      <c r="AA5" s="129">
        <f t="shared" si="0"/>
        <v>19</v>
      </c>
      <c r="AB5" s="129">
        <f t="shared" si="0"/>
        <v>20</v>
      </c>
      <c r="AC5" s="129">
        <f t="shared" si="0"/>
        <v>21</v>
      </c>
      <c r="AD5" s="129">
        <f t="shared" si="0"/>
        <v>22</v>
      </c>
      <c r="AE5" s="129">
        <f t="shared" si="0"/>
        <v>23</v>
      </c>
      <c r="AF5" s="129">
        <f t="shared" si="0"/>
        <v>24</v>
      </c>
      <c r="AG5" s="89">
        <f t="shared" si="0"/>
        <v>25</v>
      </c>
      <c r="AH5" s="89">
        <f t="shared" si="0"/>
        <v>26</v>
      </c>
      <c r="AI5" s="89">
        <f t="shared" si="0"/>
        <v>27</v>
      </c>
      <c r="AJ5" s="89">
        <f t="shared" si="0"/>
        <v>28</v>
      </c>
      <c r="AK5" s="89">
        <f t="shared" si="0"/>
        <v>29</v>
      </c>
      <c r="AL5" s="89">
        <f t="shared" si="0"/>
        <v>30</v>
      </c>
      <c r="AM5" s="89">
        <f t="shared" si="0"/>
        <v>31</v>
      </c>
      <c r="AN5" s="89">
        <f t="shared" si="0"/>
        <v>32</v>
      </c>
      <c r="AO5" s="89">
        <f t="shared" si="0"/>
        <v>33</v>
      </c>
      <c r="AP5" s="89">
        <f t="shared" si="0"/>
        <v>34</v>
      </c>
      <c r="AQ5" s="89">
        <f t="shared" si="0"/>
        <v>35</v>
      </c>
      <c r="AR5" s="89">
        <f t="shared" si="0"/>
        <v>36</v>
      </c>
      <c r="AS5" s="129">
        <f t="shared" si="0"/>
        <v>37</v>
      </c>
      <c r="AT5" s="129">
        <f t="shared" si="0"/>
        <v>38</v>
      </c>
      <c r="AU5" s="129">
        <f t="shared" si="0"/>
        <v>39</v>
      </c>
      <c r="AV5" s="129">
        <f t="shared" si="0"/>
        <v>40</v>
      </c>
      <c r="AW5" s="129">
        <f t="shared" si="0"/>
        <v>41</v>
      </c>
      <c r="AX5" s="129">
        <f t="shared" si="0"/>
        <v>42</v>
      </c>
      <c r="AY5" s="129">
        <f t="shared" si="0"/>
        <v>43</v>
      </c>
      <c r="AZ5" s="129">
        <f t="shared" si="0"/>
        <v>44</v>
      </c>
      <c r="BA5" s="129">
        <f t="shared" si="0"/>
        <v>45</v>
      </c>
      <c r="BB5" s="129">
        <f t="shared" si="0"/>
        <v>46</v>
      </c>
      <c r="BC5" s="129">
        <f t="shared" si="0"/>
        <v>47</v>
      </c>
      <c r="BD5" s="129">
        <f t="shared" si="0"/>
        <v>48</v>
      </c>
      <c r="BE5" s="89">
        <f t="shared" si="0"/>
        <v>49</v>
      </c>
      <c r="BF5" s="89">
        <f t="shared" si="0"/>
        <v>50</v>
      </c>
      <c r="BG5" s="89">
        <f t="shared" si="0"/>
        <v>51</v>
      </c>
      <c r="BH5" s="89">
        <f t="shared" si="0"/>
        <v>52</v>
      </c>
      <c r="BI5" s="89">
        <f t="shared" si="0"/>
        <v>53</v>
      </c>
      <c r="BJ5" s="89">
        <f t="shared" si="0"/>
        <v>54</v>
      </c>
      <c r="BK5" s="89">
        <f t="shared" si="0"/>
        <v>55</v>
      </c>
      <c r="BL5" s="89">
        <f t="shared" si="0"/>
        <v>56</v>
      </c>
      <c r="BM5" s="89">
        <f t="shared" si="0"/>
        <v>57</v>
      </c>
      <c r="BN5" s="89">
        <f t="shared" si="0"/>
        <v>58</v>
      </c>
      <c r="BO5" s="89">
        <f t="shared" si="0"/>
        <v>59</v>
      </c>
      <c r="BP5" s="89">
        <f t="shared" si="0"/>
        <v>60</v>
      </c>
      <c r="BQ5" s="129">
        <f t="shared" si="0"/>
        <v>61</v>
      </c>
      <c r="BR5" s="129">
        <f t="shared" si="0"/>
        <v>62</v>
      </c>
      <c r="BS5" s="129">
        <f t="shared" si="0"/>
        <v>63</v>
      </c>
      <c r="BT5" s="129">
        <f t="shared" si="0"/>
        <v>64</v>
      </c>
      <c r="BU5" s="129">
        <f t="shared" si="0"/>
        <v>65</v>
      </c>
      <c r="BV5" s="129">
        <f t="shared" ref="BV5:CY5" si="1">+BU5+1</f>
        <v>66</v>
      </c>
      <c r="BW5" s="129">
        <f t="shared" si="1"/>
        <v>67</v>
      </c>
      <c r="BX5" s="129">
        <f t="shared" si="1"/>
        <v>68</v>
      </c>
      <c r="BY5" s="129">
        <f t="shared" si="1"/>
        <v>69</v>
      </c>
      <c r="BZ5" s="129">
        <f t="shared" si="1"/>
        <v>70</v>
      </c>
      <c r="CA5" s="129">
        <f t="shared" si="1"/>
        <v>71</v>
      </c>
      <c r="CB5" s="129">
        <f t="shared" si="1"/>
        <v>72</v>
      </c>
      <c r="CC5" s="89">
        <f t="shared" si="1"/>
        <v>73</v>
      </c>
      <c r="CD5" s="89">
        <f t="shared" si="1"/>
        <v>74</v>
      </c>
      <c r="CE5" s="89">
        <f t="shared" si="1"/>
        <v>75</v>
      </c>
      <c r="CF5" s="89">
        <f t="shared" si="1"/>
        <v>76</v>
      </c>
      <c r="CG5" s="89">
        <f t="shared" si="1"/>
        <v>77</v>
      </c>
      <c r="CH5" s="89">
        <f t="shared" si="1"/>
        <v>78</v>
      </c>
      <c r="CI5" s="89">
        <f t="shared" si="1"/>
        <v>79</v>
      </c>
      <c r="CJ5" s="89">
        <f t="shared" si="1"/>
        <v>80</v>
      </c>
      <c r="CK5" s="89">
        <f t="shared" si="1"/>
        <v>81</v>
      </c>
      <c r="CL5" s="89">
        <f t="shared" si="1"/>
        <v>82</v>
      </c>
      <c r="CM5" s="89">
        <f t="shared" si="1"/>
        <v>83</v>
      </c>
      <c r="CN5" s="89">
        <f t="shared" si="1"/>
        <v>84</v>
      </c>
      <c r="CO5" s="129">
        <f t="shared" si="1"/>
        <v>85</v>
      </c>
      <c r="CP5" s="129">
        <f t="shared" si="1"/>
        <v>86</v>
      </c>
      <c r="CQ5" s="129">
        <f t="shared" si="1"/>
        <v>87</v>
      </c>
      <c r="CR5" s="129">
        <f t="shared" si="1"/>
        <v>88</v>
      </c>
      <c r="CS5" s="129">
        <f t="shared" si="1"/>
        <v>89</v>
      </c>
      <c r="CT5" s="129">
        <f t="shared" si="1"/>
        <v>90</v>
      </c>
      <c r="CU5" s="129">
        <f t="shared" si="1"/>
        <v>91</v>
      </c>
      <c r="CV5" s="129">
        <f t="shared" si="1"/>
        <v>92</v>
      </c>
      <c r="CW5" s="129">
        <f t="shared" si="1"/>
        <v>93</v>
      </c>
      <c r="CX5" s="129">
        <f t="shared" si="1"/>
        <v>94</v>
      </c>
      <c r="CY5" s="129">
        <f t="shared" si="1"/>
        <v>95</v>
      </c>
      <c r="CZ5" s="160">
        <f>+CY5+1</f>
        <v>96</v>
      </c>
      <c r="DA5" s="1"/>
      <c r="DB5" s="338"/>
      <c r="DC5" s="339"/>
      <c r="DD5" s="339"/>
      <c r="DE5" s="339"/>
      <c r="DF5" s="340"/>
    </row>
    <row r="6" spans="1:110" ht="9" customHeight="1" thickBot="1" x14ac:dyDescent="0.4">
      <c r="A6" s="352"/>
      <c r="B6" s="353"/>
      <c r="C6" s="353"/>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4"/>
      <c r="BY6" s="354"/>
      <c r="BZ6" s="354"/>
      <c r="CA6" s="354"/>
      <c r="CB6" s="354"/>
      <c r="CC6" s="354"/>
      <c r="CD6" s="354"/>
      <c r="CE6" s="354"/>
      <c r="CF6" s="354"/>
      <c r="CG6" s="354"/>
      <c r="CH6" s="354"/>
      <c r="CI6" s="354"/>
      <c r="CJ6" s="354"/>
      <c r="CK6" s="354"/>
      <c r="CL6" s="354"/>
      <c r="CM6" s="354"/>
      <c r="CN6" s="354"/>
      <c r="CO6" s="354"/>
      <c r="CP6" s="354"/>
      <c r="CQ6" s="354"/>
      <c r="CR6" s="354"/>
      <c r="CS6" s="354"/>
      <c r="CT6" s="354"/>
      <c r="CU6" s="354"/>
      <c r="CV6" s="354"/>
      <c r="CW6" s="354"/>
      <c r="CX6" s="354"/>
      <c r="CY6" s="354"/>
      <c r="CZ6" s="354"/>
      <c r="DA6" s="1"/>
      <c r="DB6" s="341"/>
      <c r="DC6" s="342"/>
      <c r="DD6" s="342"/>
      <c r="DE6" s="342"/>
      <c r="DF6" s="343"/>
    </row>
    <row r="7" spans="1:110" ht="3" customHeight="1" thickBot="1" x14ac:dyDescent="0.4">
      <c r="A7" s="54" t="str">
        <f>CONCATENATE("Commence Works on Site - ",TEXT(D11,"dd-mmm-yy"))</f>
        <v>Commence Works on Site - 03-Sep-18</v>
      </c>
      <c r="D7" s="195" t="str">
        <f>CONCATENATE(A29," = ",C29)</f>
        <v>Working Days = 905</v>
      </c>
      <c r="E7" s="196"/>
      <c r="F7" s="265">
        <f>MAX(E12:E28)</f>
        <v>44641</v>
      </c>
      <c r="G7" s="265"/>
      <c r="H7" s="196"/>
      <c r="I7" s="196"/>
      <c r="J7" s="196"/>
      <c r="K7" s="196"/>
      <c r="L7" s="196"/>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53"/>
      <c r="DA7" s="1"/>
    </row>
    <row r="8" spans="1:110" ht="15" thickBot="1" x14ac:dyDescent="0.4">
      <c r="A8" s="355" t="s">
        <v>0</v>
      </c>
      <c r="B8" s="355"/>
      <c r="C8" s="357" t="s">
        <v>3</v>
      </c>
      <c r="D8" s="359" t="s">
        <v>1</v>
      </c>
      <c r="E8" s="359" t="s">
        <v>2</v>
      </c>
      <c r="F8" s="123"/>
      <c r="G8" s="123"/>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t="s">
        <v>142</v>
      </c>
      <c r="DA8" s="1"/>
    </row>
    <row r="9" spans="1:110" ht="32" thickBot="1" x14ac:dyDescent="0.4">
      <c r="A9" s="356"/>
      <c r="B9" s="356"/>
      <c r="C9" s="358"/>
      <c r="D9" s="360"/>
      <c r="E9" s="360"/>
      <c r="F9" s="217" t="s">
        <v>297</v>
      </c>
      <c r="G9" s="217" t="s">
        <v>298</v>
      </c>
      <c r="H9" s="312">
        <f>I9-15</f>
        <v>43343</v>
      </c>
      <c r="I9" s="312">
        <f>IF(AND(DAY(D11)&gt;=1,DAY(D11)&lt;31),DATE(YEAR(D11),MONTH(D11),15),DATE(YEAR(D11),MONTH(D11)+1,15))</f>
        <v>43358</v>
      </c>
      <c r="J9" s="312">
        <f>DATE(YEAR(I9),MONTH(I9)+1,15)</f>
        <v>43388</v>
      </c>
      <c r="K9" s="312">
        <f t="shared" ref="K9:BV9" si="2">DATE(YEAR(J9),MONTH(J9)+1,15)</f>
        <v>43419</v>
      </c>
      <c r="L9" s="312">
        <f t="shared" si="2"/>
        <v>43449</v>
      </c>
      <c r="M9" s="312">
        <f t="shared" si="2"/>
        <v>43480</v>
      </c>
      <c r="N9" s="312">
        <f t="shared" si="2"/>
        <v>43511</v>
      </c>
      <c r="O9" s="312">
        <f t="shared" si="2"/>
        <v>43539</v>
      </c>
      <c r="P9" s="312">
        <f t="shared" si="2"/>
        <v>43570</v>
      </c>
      <c r="Q9" s="312">
        <f t="shared" si="2"/>
        <v>43600</v>
      </c>
      <c r="R9" s="312">
        <f t="shared" si="2"/>
        <v>43631</v>
      </c>
      <c r="S9" s="312">
        <f t="shared" si="2"/>
        <v>43661</v>
      </c>
      <c r="T9" s="312">
        <f t="shared" si="2"/>
        <v>43692</v>
      </c>
      <c r="U9" s="312">
        <f t="shared" si="2"/>
        <v>43723</v>
      </c>
      <c r="V9" s="312">
        <f t="shared" si="2"/>
        <v>43753</v>
      </c>
      <c r="W9" s="312">
        <f t="shared" si="2"/>
        <v>43784</v>
      </c>
      <c r="X9" s="312">
        <f t="shared" si="2"/>
        <v>43814</v>
      </c>
      <c r="Y9" s="312">
        <f t="shared" si="2"/>
        <v>43845</v>
      </c>
      <c r="Z9" s="312">
        <f t="shared" si="2"/>
        <v>43876</v>
      </c>
      <c r="AA9" s="312">
        <f t="shared" si="2"/>
        <v>43905</v>
      </c>
      <c r="AB9" s="312">
        <f t="shared" si="2"/>
        <v>43936</v>
      </c>
      <c r="AC9" s="312">
        <f t="shared" si="2"/>
        <v>43966</v>
      </c>
      <c r="AD9" s="312">
        <f t="shared" si="2"/>
        <v>43997</v>
      </c>
      <c r="AE9" s="312">
        <f t="shared" si="2"/>
        <v>44027</v>
      </c>
      <c r="AF9" s="312">
        <f t="shared" si="2"/>
        <v>44058</v>
      </c>
      <c r="AG9" s="312">
        <f t="shared" si="2"/>
        <v>44089</v>
      </c>
      <c r="AH9" s="312">
        <f t="shared" si="2"/>
        <v>44119</v>
      </c>
      <c r="AI9" s="312">
        <f t="shared" si="2"/>
        <v>44150</v>
      </c>
      <c r="AJ9" s="312">
        <f t="shared" si="2"/>
        <v>44180</v>
      </c>
      <c r="AK9" s="312">
        <f t="shared" si="2"/>
        <v>44211</v>
      </c>
      <c r="AL9" s="312">
        <f t="shared" si="2"/>
        <v>44242</v>
      </c>
      <c r="AM9" s="312">
        <f t="shared" si="2"/>
        <v>44270</v>
      </c>
      <c r="AN9" s="312">
        <f t="shared" si="2"/>
        <v>44301</v>
      </c>
      <c r="AO9" s="312">
        <f t="shared" si="2"/>
        <v>44331</v>
      </c>
      <c r="AP9" s="312">
        <f t="shared" si="2"/>
        <v>44362</v>
      </c>
      <c r="AQ9" s="312">
        <f t="shared" si="2"/>
        <v>44392</v>
      </c>
      <c r="AR9" s="312">
        <f t="shared" si="2"/>
        <v>44423</v>
      </c>
      <c r="AS9" s="312">
        <f t="shared" si="2"/>
        <v>44454</v>
      </c>
      <c r="AT9" s="312">
        <f t="shared" si="2"/>
        <v>44484</v>
      </c>
      <c r="AU9" s="312">
        <f t="shared" si="2"/>
        <v>44515</v>
      </c>
      <c r="AV9" s="312">
        <f t="shared" si="2"/>
        <v>44545</v>
      </c>
      <c r="AW9" s="312">
        <f t="shared" si="2"/>
        <v>44576</v>
      </c>
      <c r="AX9" s="312">
        <f t="shared" si="2"/>
        <v>44607</v>
      </c>
      <c r="AY9" s="312">
        <f t="shared" si="2"/>
        <v>44635</v>
      </c>
      <c r="AZ9" s="312">
        <f t="shared" si="2"/>
        <v>44666</v>
      </c>
      <c r="BA9" s="312">
        <f t="shared" si="2"/>
        <v>44696</v>
      </c>
      <c r="BB9" s="312">
        <f t="shared" si="2"/>
        <v>44727</v>
      </c>
      <c r="BC9" s="312">
        <f t="shared" si="2"/>
        <v>44757</v>
      </c>
      <c r="BD9" s="312">
        <f t="shared" si="2"/>
        <v>44788</v>
      </c>
      <c r="BE9" s="312">
        <f t="shared" si="2"/>
        <v>44819</v>
      </c>
      <c r="BF9" s="312">
        <f t="shared" si="2"/>
        <v>44849</v>
      </c>
      <c r="BG9" s="312">
        <f t="shared" si="2"/>
        <v>44880</v>
      </c>
      <c r="BH9" s="312">
        <f t="shared" si="2"/>
        <v>44910</v>
      </c>
      <c r="BI9" s="312">
        <f t="shared" si="2"/>
        <v>44941</v>
      </c>
      <c r="BJ9" s="312">
        <f t="shared" si="2"/>
        <v>44972</v>
      </c>
      <c r="BK9" s="312">
        <f t="shared" si="2"/>
        <v>45000</v>
      </c>
      <c r="BL9" s="312">
        <f t="shared" si="2"/>
        <v>45031</v>
      </c>
      <c r="BM9" s="312">
        <f t="shared" si="2"/>
        <v>45061</v>
      </c>
      <c r="BN9" s="312">
        <f t="shared" si="2"/>
        <v>45092</v>
      </c>
      <c r="BO9" s="312">
        <f t="shared" si="2"/>
        <v>45122</v>
      </c>
      <c r="BP9" s="312">
        <f t="shared" si="2"/>
        <v>45153</v>
      </c>
      <c r="BQ9" s="312">
        <f t="shared" si="2"/>
        <v>45184</v>
      </c>
      <c r="BR9" s="312">
        <f t="shared" si="2"/>
        <v>45214</v>
      </c>
      <c r="BS9" s="312">
        <f t="shared" si="2"/>
        <v>45245</v>
      </c>
      <c r="BT9" s="312">
        <f t="shared" si="2"/>
        <v>45275</v>
      </c>
      <c r="BU9" s="312">
        <f t="shared" si="2"/>
        <v>45306</v>
      </c>
      <c r="BV9" s="312">
        <f t="shared" si="2"/>
        <v>45337</v>
      </c>
      <c r="BW9" s="312">
        <f t="shared" ref="BW9:CZ9" si="3">DATE(YEAR(BV9),MONTH(BV9)+1,15)</f>
        <v>45366</v>
      </c>
      <c r="BX9" s="312">
        <f t="shared" si="3"/>
        <v>45397</v>
      </c>
      <c r="BY9" s="312">
        <f t="shared" si="3"/>
        <v>45427</v>
      </c>
      <c r="BZ9" s="312">
        <f t="shared" si="3"/>
        <v>45458</v>
      </c>
      <c r="CA9" s="312">
        <f t="shared" si="3"/>
        <v>45488</v>
      </c>
      <c r="CB9" s="312">
        <f t="shared" si="3"/>
        <v>45519</v>
      </c>
      <c r="CC9" s="312">
        <f t="shared" si="3"/>
        <v>45550</v>
      </c>
      <c r="CD9" s="312">
        <f t="shared" si="3"/>
        <v>45580</v>
      </c>
      <c r="CE9" s="312">
        <f t="shared" si="3"/>
        <v>45611</v>
      </c>
      <c r="CF9" s="312">
        <f t="shared" si="3"/>
        <v>45641</v>
      </c>
      <c r="CG9" s="312">
        <f t="shared" si="3"/>
        <v>45672</v>
      </c>
      <c r="CH9" s="312">
        <f t="shared" si="3"/>
        <v>45703</v>
      </c>
      <c r="CI9" s="312">
        <f t="shared" si="3"/>
        <v>45731</v>
      </c>
      <c r="CJ9" s="312">
        <f t="shared" si="3"/>
        <v>45762</v>
      </c>
      <c r="CK9" s="312">
        <f t="shared" si="3"/>
        <v>45792</v>
      </c>
      <c r="CL9" s="312">
        <f t="shared" si="3"/>
        <v>45823</v>
      </c>
      <c r="CM9" s="312">
        <f t="shared" si="3"/>
        <v>45853</v>
      </c>
      <c r="CN9" s="312">
        <f t="shared" si="3"/>
        <v>45884</v>
      </c>
      <c r="CO9" s="312">
        <f t="shared" si="3"/>
        <v>45915</v>
      </c>
      <c r="CP9" s="312">
        <f t="shared" si="3"/>
        <v>45945</v>
      </c>
      <c r="CQ9" s="312">
        <f t="shared" si="3"/>
        <v>45976</v>
      </c>
      <c r="CR9" s="312">
        <f t="shared" si="3"/>
        <v>46006</v>
      </c>
      <c r="CS9" s="312">
        <f t="shared" si="3"/>
        <v>46037</v>
      </c>
      <c r="CT9" s="312">
        <f t="shared" si="3"/>
        <v>46068</v>
      </c>
      <c r="CU9" s="312">
        <f t="shared" si="3"/>
        <v>46096</v>
      </c>
      <c r="CV9" s="312">
        <f t="shared" si="3"/>
        <v>46127</v>
      </c>
      <c r="CW9" s="312">
        <f t="shared" si="3"/>
        <v>46157</v>
      </c>
      <c r="CX9" s="312">
        <f t="shared" si="3"/>
        <v>46188</v>
      </c>
      <c r="CY9" s="312">
        <f t="shared" si="3"/>
        <v>46218</v>
      </c>
      <c r="CZ9" s="312">
        <f t="shared" si="3"/>
        <v>46249</v>
      </c>
      <c r="DA9" s="1"/>
      <c r="DB9" s="331" t="s">
        <v>247</v>
      </c>
      <c r="DC9" s="332"/>
      <c r="DD9" s="331" t="s">
        <v>251</v>
      </c>
      <c r="DE9" s="332"/>
    </row>
    <row r="10" spans="1:110" ht="15" thickBot="1" x14ac:dyDescent="0.4">
      <c r="A10" s="344" t="s">
        <v>140</v>
      </c>
      <c r="B10" s="345"/>
      <c r="C10" s="84"/>
      <c r="D10" s="90">
        <v>43245</v>
      </c>
      <c r="E10" s="217"/>
      <c r="F10" s="217"/>
      <c r="G10" s="274"/>
      <c r="H10" s="220"/>
      <c r="I10" s="221"/>
      <c r="J10" s="221"/>
      <c r="K10" s="221"/>
      <c r="L10" s="221"/>
      <c r="M10" s="221"/>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c r="CP10" s="221"/>
      <c r="CQ10" s="221"/>
      <c r="CR10" s="221"/>
      <c r="CS10" s="221"/>
      <c r="CT10" s="221"/>
      <c r="CU10" s="221"/>
      <c r="CV10" s="221"/>
      <c r="CW10" s="221"/>
      <c r="CX10" s="221"/>
      <c r="CY10" s="222"/>
      <c r="CZ10" s="222"/>
      <c r="DA10" s="1"/>
      <c r="DB10" s="205" t="s">
        <v>211</v>
      </c>
      <c r="DC10" s="329">
        <f>HoursPerDayRatio</f>
        <v>0.375</v>
      </c>
      <c r="DD10" s="205" t="s">
        <v>252</v>
      </c>
      <c r="DE10" s="329">
        <f>'Project Site Calendar'!U38</f>
        <v>0.69863013698630139</v>
      </c>
    </row>
    <row r="11" spans="1:110" ht="15" thickBot="1" x14ac:dyDescent="0.4">
      <c r="A11" s="344" t="s">
        <v>141</v>
      </c>
      <c r="B11" s="345"/>
      <c r="C11" s="85"/>
      <c r="D11" s="91">
        <v>43346</v>
      </c>
      <c r="E11" s="333" t="s">
        <v>232</v>
      </c>
      <c r="F11" s="334"/>
      <c r="G11" s="276"/>
      <c r="H11" s="277"/>
      <c r="I11" s="223">
        <v>3</v>
      </c>
      <c r="J11" s="223">
        <v>3</v>
      </c>
      <c r="K11" s="223">
        <v>1</v>
      </c>
      <c r="L11" s="223">
        <v>1</v>
      </c>
      <c r="M11" s="223">
        <v>1</v>
      </c>
      <c r="N11" s="223">
        <v>1</v>
      </c>
      <c r="O11" s="223">
        <v>1</v>
      </c>
      <c r="P11" s="223">
        <v>1</v>
      </c>
      <c r="Q11" s="223">
        <v>1</v>
      </c>
      <c r="R11" s="223">
        <v>2</v>
      </c>
      <c r="S11" s="223">
        <v>2</v>
      </c>
      <c r="T11" s="223">
        <v>2</v>
      </c>
      <c r="U11" s="223">
        <v>3</v>
      </c>
      <c r="V11" s="223">
        <v>3</v>
      </c>
      <c r="W11" s="223">
        <v>3</v>
      </c>
      <c r="X11" s="223">
        <v>3</v>
      </c>
      <c r="Y11" s="223">
        <v>3</v>
      </c>
      <c r="Z11" s="223">
        <v>3</v>
      </c>
      <c r="AA11" s="223">
        <v>3</v>
      </c>
      <c r="AB11" s="223">
        <v>3</v>
      </c>
      <c r="AC11" s="223">
        <v>3</v>
      </c>
      <c r="AD11" s="223">
        <v>3</v>
      </c>
      <c r="AE11" s="223">
        <v>4</v>
      </c>
      <c r="AF11" s="223">
        <v>4</v>
      </c>
      <c r="AG11" s="223">
        <v>4</v>
      </c>
      <c r="AH11" s="223">
        <v>4</v>
      </c>
      <c r="AI11" s="223">
        <v>4</v>
      </c>
      <c r="AJ11" s="223">
        <v>4</v>
      </c>
      <c r="AK11" s="223">
        <v>4</v>
      </c>
      <c r="AL11" s="223">
        <v>4</v>
      </c>
      <c r="AM11" s="223">
        <v>4</v>
      </c>
      <c r="AN11" s="223">
        <v>4</v>
      </c>
      <c r="AO11" s="223">
        <v>4</v>
      </c>
      <c r="AP11" s="224">
        <v>4</v>
      </c>
      <c r="AQ11" s="224">
        <v>4</v>
      </c>
      <c r="AR11" s="224">
        <v>4</v>
      </c>
      <c r="AS11" s="224">
        <v>4</v>
      </c>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W11" s="224"/>
      <c r="CX11" s="224"/>
      <c r="CY11" s="224"/>
      <c r="CZ11" s="225"/>
      <c r="DA11" s="1"/>
      <c r="DB11" s="205" t="s">
        <v>210</v>
      </c>
      <c r="DC11" s="330"/>
      <c r="DD11" s="205" t="s">
        <v>253</v>
      </c>
      <c r="DE11" s="330"/>
    </row>
    <row r="12" spans="1:110" hidden="1" x14ac:dyDescent="0.35">
      <c r="A12" s="429" t="s">
        <v>16</v>
      </c>
      <c r="B12" s="430"/>
      <c r="C12" s="188">
        <f>(E12-D12+1)*DaysPerYearRatio</f>
        <v>41.219178082191782</v>
      </c>
      <c r="D12" s="190">
        <f>+D11</f>
        <v>43346</v>
      </c>
      <c r="E12" s="191">
        <f>+D12+52+6</f>
        <v>43404</v>
      </c>
      <c r="F12" s="198">
        <f>SUM(I12:CZ12)/C12</f>
        <v>0.13336662749207576</v>
      </c>
      <c r="G12" s="198">
        <f>SUM(I12:CZ12)/(C12-SUM(I12:CZ12))</f>
        <v>0.15389048209178705</v>
      </c>
      <c r="H12" s="278"/>
      <c r="I12" s="285">
        <f>IF(OR(AND(I$9&gt;=$D12,I$9&lt;=$E12),I$9=$D12+1-DAY($D12)),I$51,"")</f>
        <v>2.1845208333333335</v>
      </c>
      <c r="J12" s="285">
        <f t="shared" ref="J12:BU18" si="4">IF(OR(AND(J$9&gt;=$D12,J$9&lt;=$E12),J$9=$D12+1-DAY($D12)),J$51,"")</f>
        <v>3.3127419354838707</v>
      </c>
      <c r="K12" s="285" t="str">
        <f t="shared" si="4"/>
        <v/>
      </c>
      <c r="L12" s="285" t="str">
        <f t="shared" si="4"/>
        <v/>
      </c>
      <c r="M12" s="285" t="str">
        <f t="shared" si="4"/>
        <v/>
      </c>
      <c r="N12" s="285" t="str">
        <f t="shared" si="4"/>
        <v/>
      </c>
      <c r="O12" s="285" t="str">
        <f t="shared" si="4"/>
        <v/>
      </c>
      <c r="P12" s="285" t="str">
        <f t="shared" si="4"/>
        <v/>
      </c>
      <c r="Q12" s="285" t="str">
        <f t="shared" si="4"/>
        <v/>
      </c>
      <c r="R12" s="285" t="str">
        <f t="shared" si="4"/>
        <v/>
      </c>
      <c r="S12" s="285" t="str">
        <f t="shared" si="4"/>
        <v/>
      </c>
      <c r="T12" s="285" t="str">
        <f t="shared" si="4"/>
        <v/>
      </c>
      <c r="U12" s="285" t="str">
        <f t="shared" si="4"/>
        <v/>
      </c>
      <c r="V12" s="285" t="str">
        <f t="shared" si="4"/>
        <v/>
      </c>
      <c r="W12" s="285" t="str">
        <f t="shared" si="4"/>
        <v/>
      </c>
      <c r="X12" s="285" t="str">
        <f t="shared" si="4"/>
        <v/>
      </c>
      <c r="Y12" s="285" t="str">
        <f t="shared" si="4"/>
        <v/>
      </c>
      <c r="Z12" s="285" t="str">
        <f t="shared" si="4"/>
        <v/>
      </c>
      <c r="AA12" s="285" t="str">
        <f t="shared" si="4"/>
        <v/>
      </c>
      <c r="AB12" s="285" t="str">
        <f t="shared" si="4"/>
        <v/>
      </c>
      <c r="AC12" s="285" t="str">
        <f t="shared" si="4"/>
        <v/>
      </c>
      <c r="AD12" s="285" t="str">
        <f t="shared" si="4"/>
        <v/>
      </c>
      <c r="AE12" s="285" t="str">
        <f t="shared" si="4"/>
        <v/>
      </c>
      <c r="AF12" s="285" t="str">
        <f t="shared" si="4"/>
        <v/>
      </c>
      <c r="AG12" s="285" t="str">
        <f t="shared" si="4"/>
        <v/>
      </c>
      <c r="AH12" s="285" t="str">
        <f t="shared" si="4"/>
        <v/>
      </c>
      <c r="AI12" s="285" t="str">
        <f t="shared" si="4"/>
        <v/>
      </c>
      <c r="AJ12" s="285" t="str">
        <f t="shared" si="4"/>
        <v/>
      </c>
      <c r="AK12" s="285" t="str">
        <f t="shared" si="4"/>
        <v/>
      </c>
      <c r="AL12" s="285" t="str">
        <f t="shared" si="4"/>
        <v/>
      </c>
      <c r="AM12" s="285" t="str">
        <f t="shared" si="4"/>
        <v/>
      </c>
      <c r="AN12" s="285" t="str">
        <f t="shared" si="4"/>
        <v/>
      </c>
      <c r="AO12" s="285" t="str">
        <f t="shared" si="4"/>
        <v/>
      </c>
      <c r="AP12" s="285" t="str">
        <f t="shared" si="4"/>
        <v/>
      </c>
      <c r="AQ12" s="285" t="str">
        <f t="shared" si="4"/>
        <v/>
      </c>
      <c r="AR12" s="285" t="str">
        <f t="shared" si="4"/>
        <v/>
      </c>
      <c r="AS12" s="285" t="str">
        <f t="shared" si="4"/>
        <v/>
      </c>
      <c r="AT12" s="285" t="str">
        <f t="shared" si="4"/>
        <v/>
      </c>
      <c r="AU12" s="285" t="str">
        <f t="shared" si="4"/>
        <v/>
      </c>
      <c r="AV12" s="285" t="str">
        <f t="shared" si="4"/>
        <v/>
      </c>
      <c r="AW12" s="285" t="str">
        <f t="shared" si="4"/>
        <v/>
      </c>
      <c r="AX12" s="285" t="str">
        <f t="shared" si="4"/>
        <v/>
      </c>
      <c r="AY12" s="285" t="str">
        <f t="shared" si="4"/>
        <v/>
      </c>
      <c r="AZ12" s="285" t="str">
        <f t="shared" si="4"/>
        <v/>
      </c>
      <c r="BA12" s="285" t="str">
        <f t="shared" si="4"/>
        <v/>
      </c>
      <c r="BB12" s="285" t="str">
        <f t="shared" si="4"/>
        <v/>
      </c>
      <c r="BC12" s="285" t="str">
        <f t="shared" si="4"/>
        <v/>
      </c>
      <c r="BD12" s="285" t="str">
        <f t="shared" si="4"/>
        <v/>
      </c>
      <c r="BE12" s="285" t="str">
        <f t="shared" si="4"/>
        <v/>
      </c>
      <c r="BF12" s="285" t="str">
        <f t="shared" si="4"/>
        <v/>
      </c>
      <c r="BG12" s="285" t="str">
        <f t="shared" si="4"/>
        <v/>
      </c>
      <c r="BH12" s="285" t="str">
        <f t="shared" si="4"/>
        <v/>
      </c>
      <c r="BI12" s="285" t="str">
        <f t="shared" si="4"/>
        <v/>
      </c>
      <c r="BJ12" s="285" t="str">
        <f t="shared" si="4"/>
        <v/>
      </c>
      <c r="BK12" s="285" t="str">
        <f t="shared" si="4"/>
        <v/>
      </c>
      <c r="BL12" s="285" t="str">
        <f t="shared" si="4"/>
        <v/>
      </c>
      <c r="BM12" s="285" t="str">
        <f t="shared" si="4"/>
        <v/>
      </c>
      <c r="BN12" s="285" t="str">
        <f t="shared" si="4"/>
        <v/>
      </c>
      <c r="BO12" s="285" t="str">
        <f t="shared" si="4"/>
        <v/>
      </c>
      <c r="BP12" s="285" t="str">
        <f t="shared" si="4"/>
        <v/>
      </c>
      <c r="BQ12" s="285" t="str">
        <f t="shared" si="4"/>
        <v/>
      </c>
      <c r="BR12" s="285" t="str">
        <f t="shared" si="4"/>
        <v/>
      </c>
      <c r="BS12" s="285" t="str">
        <f t="shared" si="4"/>
        <v/>
      </c>
      <c r="BT12" s="285" t="str">
        <f t="shared" si="4"/>
        <v/>
      </c>
      <c r="BU12" s="285" t="str">
        <f t="shared" si="4"/>
        <v/>
      </c>
      <c r="BV12" s="285" t="str">
        <f t="shared" ref="BV12:CZ28" si="5">IF(OR(AND(BV$9&gt;=$D12,BV$9&lt;=$E12),BV$9=$D12+1-DAY($D12)),BV$51,"")</f>
        <v/>
      </c>
      <c r="BW12" s="285" t="str">
        <f t="shared" si="5"/>
        <v/>
      </c>
      <c r="BX12" s="285" t="str">
        <f t="shared" si="5"/>
        <v/>
      </c>
      <c r="BY12" s="285" t="str">
        <f t="shared" si="5"/>
        <v/>
      </c>
      <c r="BZ12" s="285" t="str">
        <f t="shared" si="5"/>
        <v/>
      </c>
      <c r="CA12" s="285" t="str">
        <f t="shared" si="5"/>
        <v/>
      </c>
      <c r="CB12" s="285" t="str">
        <f t="shared" si="5"/>
        <v/>
      </c>
      <c r="CC12" s="285" t="str">
        <f t="shared" si="5"/>
        <v/>
      </c>
      <c r="CD12" s="285" t="str">
        <f t="shared" si="5"/>
        <v/>
      </c>
      <c r="CE12" s="285" t="str">
        <f t="shared" si="5"/>
        <v/>
      </c>
      <c r="CF12" s="285" t="str">
        <f t="shared" si="5"/>
        <v/>
      </c>
      <c r="CG12" s="285" t="str">
        <f t="shared" si="5"/>
        <v/>
      </c>
      <c r="CH12" s="285" t="str">
        <f t="shared" si="5"/>
        <v/>
      </c>
      <c r="CI12" s="285" t="str">
        <f t="shared" si="5"/>
        <v/>
      </c>
      <c r="CJ12" s="285" t="str">
        <f t="shared" si="5"/>
        <v/>
      </c>
      <c r="CK12" s="285" t="str">
        <f t="shared" si="5"/>
        <v/>
      </c>
      <c r="CL12" s="285" t="str">
        <f t="shared" si="5"/>
        <v/>
      </c>
      <c r="CM12" s="285" t="str">
        <f t="shared" si="5"/>
        <v/>
      </c>
      <c r="CN12" s="285" t="str">
        <f t="shared" si="5"/>
        <v/>
      </c>
      <c r="CO12" s="285" t="str">
        <f t="shared" si="5"/>
        <v/>
      </c>
      <c r="CP12" s="285" t="str">
        <f t="shared" si="5"/>
        <v/>
      </c>
      <c r="CQ12" s="285" t="str">
        <f t="shared" si="5"/>
        <v/>
      </c>
      <c r="CR12" s="285" t="str">
        <f t="shared" si="5"/>
        <v/>
      </c>
      <c r="CS12" s="285" t="str">
        <f t="shared" si="5"/>
        <v/>
      </c>
      <c r="CT12" s="285" t="str">
        <f t="shared" si="5"/>
        <v/>
      </c>
      <c r="CU12" s="285" t="str">
        <f t="shared" si="5"/>
        <v/>
      </c>
      <c r="CV12" s="285" t="str">
        <f t="shared" si="5"/>
        <v/>
      </c>
      <c r="CW12" s="285" t="str">
        <f t="shared" si="5"/>
        <v/>
      </c>
      <c r="CX12" s="285" t="str">
        <f t="shared" si="5"/>
        <v/>
      </c>
      <c r="CY12" s="285" t="str">
        <f t="shared" si="5"/>
        <v/>
      </c>
      <c r="CZ12" s="285" t="str">
        <f t="shared" si="5"/>
        <v/>
      </c>
      <c r="DA12" s="1"/>
      <c r="DB12" t="s">
        <v>284</v>
      </c>
    </row>
    <row r="13" spans="1:110" ht="5.15" hidden="1" customHeight="1" x14ac:dyDescent="0.35">
      <c r="A13" s="3"/>
      <c r="B13" s="4"/>
      <c r="C13" s="5"/>
      <c r="D13" s="190" t="s">
        <v>182</v>
      </c>
      <c r="E13" s="192" t="s">
        <v>182</v>
      </c>
      <c r="F13" s="157"/>
      <c r="G13" s="157"/>
      <c r="H13" s="279"/>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280"/>
      <c r="DA13" s="1"/>
    </row>
    <row r="14" spans="1:110" hidden="1" x14ac:dyDescent="0.35">
      <c r="A14" s="427" t="s">
        <v>158</v>
      </c>
      <c r="B14" s="428"/>
      <c r="C14" s="188">
        <f>(E14-D14+1)*DaysPerYearRatio</f>
        <v>139.72602739726028</v>
      </c>
      <c r="D14" s="193">
        <f>+E12+1</f>
        <v>43405</v>
      </c>
      <c r="E14" s="191">
        <f>+D14+180+19</f>
        <v>43604</v>
      </c>
      <c r="F14" s="198">
        <f>SUM(I14:CZ14)/C14</f>
        <v>0.19087001969067197</v>
      </c>
      <c r="G14" s="198">
        <f>SUM(I14:CZ14)/(C14-SUM(I14:CZ14))</f>
        <v>0.23589537445850531</v>
      </c>
      <c r="H14" s="278"/>
      <c r="I14" s="285" t="str">
        <f>IF(OR(AND(I$9&gt;=$D14,I$9&lt;=$E14),I$9=$D14+1-DAY($D14)),I$51,"")</f>
        <v/>
      </c>
      <c r="J14" s="285" t="str">
        <f t="shared" si="4"/>
        <v/>
      </c>
      <c r="K14" s="285">
        <f t="shared" si="4"/>
        <v>4.5175000000000001</v>
      </c>
      <c r="L14" s="285">
        <f t="shared" si="4"/>
        <v>3.3037096774193548</v>
      </c>
      <c r="M14" s="285">
        <f t="shared" si="4"/>
        <v>2.810483870967742</v>
      </c>
      <c r="N14" s="285">
        <f t="shared" si="4"/>
        <v>3.4404464285714287</v>
      </c>
      <c r="O14" s="285">
        <f t="shared" si="4"/>
        <v>3.0827419354838712</v>
      </c>
      <c r="P14" s="285">
        <f t="shared" si="4"/>
        <v>3.8372083333333329</v>
      </c>
      <c r="Q14" s="285">
        <f t="shared" si="4"/>
        <v>5.67741935483871</v>
      </c>
      <c r="R14" s="285" t="str">
        <f t="shared" si="4"/>
        <v/>
      </c>
      <c r="S14" s="285" t="str">
        <f t="shared" si="4"/>
        <v/>
      </c>
      <c r="T14" s="285" t="str">
        <f t="shared" si="4"/>
        <v/>
      </c>
      <c r="U14" s="285" t="str">
        <f t="shared" si="4"/>
        <v/>
      </c>
      <c r="V14" s="285" t="str">
        <f t="shared" si="4"/>
        <v/>
      </c>
      <c r="W14" s="285" t="str">
        <f t="shared" si="4"/>
        <v/>
      </c>
      <c r="X14" s="285" t="str">
        <f t="shared" si="4"/>
        <v/>
      </c>
      <c r="Y14" s="285" t="str">
        <f t="shared" si="4"/>
        <v/>
      </c>
      <c r="Z14" s="285" t="str">
        <f t="shared" si="4"/>
        <v/>
      </c>
      <c r="AA14" s="285" t="str">
        <f t="shared" si="4"/>
        <v/>
      </c>
      <c r="AB14" s="285" t="str">
        <f t="shared" si="4"/>
        <v/>
      </c>
      <c r="AC14" s="285" t="str">
        <f t="shared" si="4"/>
        <v/>
      </c>
      <c r="AD14" s="285" t="str">
        <f t="shared" si="4"/>
        <v/>
      </c>
      <c r="AE14" s="285" t="str">
        <f t="shared" si="4"/>
        <v/>
      </c>
      <c r="AF14" s="285" t="str">
        <f t="shared" si="4"/>
        <v/>
      </c>
      <c r="AG14" s="285" t="str">
        <f t="shared" si="4"/>
        <v/>
      </c>
      <c r="AH14" s="285" t="str">
        <f t="shared" si="4"/>
        <v/>
      </c>
      <c r="AI14" s="285" t="str">
        <f t="shared" si="4"/>
        <v/>
      </c>
      <c r="AJ14" s="285" t="str">
        <f t="shared" si="4"/>
        <v/>
      </c>
      <c r="AK14" s="285" t="str">
        <f t="shared" si="4"/>
        <v/>
      </c>
      <c r="AL14" s="285" t="str">
        <f t="shared" si="4"/>
        <v/>
      </c>
      <c r="AM14" s="285" t="str">
        <f t="shared" si="4"/>
        <v/>
      </c>
      <c r="AN14" s="285" t="str">
        <f t="shared" si="4"/>
        <v/>
      </c>
      <c r="AO14" s="285" t="str">
        <f t="shared" si="4"/>
        <v/>
      </c>
      <c r="AP14" s="285" t="str">
        <f t="shared" si="4"/>
        <v/>
      </c>
      <c r="AQ14" s="285" t="str">
        <f t="shared" si="4"/>
        <v/>
      </c>
      <c r="AR14" s="285" t="str">
        <f t="shared" si="4"/>
        <v/>
      </c>
      <c r="AS14" s="285" t="str">
        <f t="shared" si="4"/>
        <v/>
      </c>
      <c r="AT14" s="285" t="str">
        <f t="shared" si="4"/>
        <v/>
      </c>
      <c r="AU14" s="285" t="str">
        <f t="shared" si="4"/>
        <v/>
      </c>
      <c r="AV14" s="285" t="str">
        <f t="shared" si="4"/>
        <v/>
      </c>
      <c r="AW14" s="285" t="str">
        <f t="shared" si="4"/>
        <v/>
      </c>
      <c r="AX14" s="285" t="str">
        <f t="shared" si="4"/>
        <v/>
      </c>
      <c r="AY14" s="285" t="str">
        <f t="shared" si="4"/>
        <v/>
      </c>
      <c r="AZ14" s="285" t="str">
        <f t="shared" si="4"/>
        <v/>
      </c>
      <c r="BA14" s="285" t="str">
        <f t="shared" si="4"/>
        <v/>
      </c>
      <c r="BB14" s="285" t="str">
        <f t="shared" si="4"/>
        <v/>
      </c>
      <c r="BC14" s="285" t="str">
        <f t="shared" si="4"/>
        <v/>
      </c>
      <c r="BD14" s="285" t="str">
        <f t="shared" si="4"/>
        <v/>
      </c>
      <c r="BE14" s="285" t="str">
        <f t="shared" si="4"/>
        <v/>
      </c>
      <c r="BF14" s="285" t="str">
        <f t="shared" si="4"/>
        <v/>
      </c>
      <c r="BG14" s="285" t="str">
        <f t="shared" si="4"/>
        <v/>
      </c>
      <c r="BH14" s="285" t="str">
        <f t="shared" si="4"/>
        <v/>
      </c>
      <c r="BI14" s="285" t="str">
        <f t="shared" si="4"/>
        <v/>
      </c>
      <c r="BJ14" s="285" t="str">
        <f t="shared" si="4"/>
        <v/>
      </c>
      <c r="BK14" s="285" t="str">
        <f t="shared" si="4"/>
        <v/>
      </c>
      <c r="BL14" s="285" t="str">
        <f t="shared" si="4"/>
        <v/>
      </c>
      <c r="BM14" s="285" t="str">
        <f t="shared" si="4"/>
        <v/>
      </c>
      <c r="BN14" s="285" t="str">
        <f t="shared" si="4"/>
        <v/>
      </c>
      <c r="BO14" s="285" t="str">
        <f t="shared" si="4"/>
        <v/>
      </c>
      <c r="BP14" s="285" t="str">
        <f t="shared" si="4"/>
        <v/>
      </c>
      <c r="BQ14" s="285" t="str">
        <f t="shared" si="4"/>
        <v/>
      </c>
      <c r="BR14" s="285" t="str">
        <f t="shared" si="4"/>
        <v/>
      </c>
      <c r="BS14" s="285" t="str">
        <f t="shared" si="4"/>
        <v/>
      </c>
      <c r="BT14" s="285" t="str">
        <f t="shared" si="4"/>
        <v/>
      </c>
      <c r="BU14" s="285" t="str">
        <f t="shared" si="4"/>
        <v/>
      </c>
      <c r="BV14" s="285" t="str">
        <f t="shared" si="5"/>
        <v/>
      </c>
      <c r="BW14" s="285" t="str">
        <f t="shared" si="5"/>
        <v/>
      </c>
      <c r="BX14" s="285" t="str">
        <f t="shared" si="5"/>
        <v/>
      </c>
      <c r="BY14" s="285" t="str">
        <f t="shared" si="5"/>
        <v/>
      </c>
      <c r="BZ14" s="285" t="str">
        <f t="shared" si="5"/>
        <v/>
      </c>
      <c r="CA14" s="285" t="str">
        <f t="shared" si="5"/>
        <v/>
      </c>
      <c r="CB14" s="285" t="str">
        <f t="shared" si="5"/>
        <v/>
      </c>
      <c r="CC14" s="285" t="str">
        <f t="shared" si="5"/>
        <v/>
      </c>
      <c r="CD14" s="285" t="str">
        <f t="shared" si="5"/>
        <v/>
      </c>
      <c r="CE14" s="285" t="str">
        <f t="shared" si="5"/>
        <v/>
      </c>
      <c r="CF14" s="285" t="str">
        <f t="shared" si="5"/>
        <v/>
      </c>
      <c r="CG14" s="285" t="str">
        <f t="shared" si="5"/>
        <v/>
      </c>
      <c r="CH14" s="285" t="str">
        <f t="shared" si="5"/>
        <v/>
      </c>
      <c r="CI14" s="285" t="str">
        <f t="shared" si="5"/>
        <v/>
      </c>
      <c r="CJ14" s="285" t="str">
        <f t="shared" si="5"/>
        <v/>
      </c>
      <c r="CK14" s="285" t="str">
        <f t="shared" si="5"/>
        <v/>
      </c>
      <c r="CL14" s="285" t="str">
        <f t="shared" si="5"/>
        <v/>
      </c>
      <c r="CM14" s="285" t="str">
        <f t="shared" si="5"/>
        <v/>
      </c>
      <c r="CN14" s="285" t="str">
        <f t="shared" si="5"/>
        <v/>
      </c>
      <c r="CO14" s="285" t="str">
        <f t="shared" si="5"/>
        <v/>
      </c>
      <c r="CP14" s="285" t="str">
        <f t="shared" si="5"/>
        <v/>
      </c>
      <c r="CQ14" s="285" t="str">
        <f t="shared" si="5"/>
        <v/>
      </c>
      <c r="CR14" s="285" t="str">
        <f t="shared" si="5"/>
        <v/>
      </c>
      <c r="CS14" s="285" t="str">
        <f t="shared" si="5"/>
        <v/>
      </c>
      <c r="CT14" s="285" t="str">
        <f t="shared" si="5"/>
        <v/>
      </c>
      <c r="CU14" s="285" t="str">
        <f t="shared" si="5"/>
        <v/>
      </c>
      <c r="CV14" s="285" t="str">
        <f t="shared" si="5"/>
        <v/>
      </c>
      <c r="CW14" s="285" t="str">
        <f t="shared" si="5"/>
        <v/>
      </c>
      <c r="CX14" s="285" t="str">
        <f t="shared" si="5"/>
        <v/>
      </c>
      <c r="CY14" s="285" t="str">
        <f t="shared" si="5"/>
        <v/>
      </c>
      <c r="CZ14" s="285" t="str">
        <f t="shared" si="5"/>
        <v/>
      </c>
      <c r="DA14" s="1"/>
      <c r="DB14" t="s">
        <v>285</v>
      </c>
    </row>
    <row r="15" spans="1:110" ht="5.15" hidden="1" customHeight="1" x14ac:dyDescent="0.35">
      <c r="A15" s="419"/>
      <c r="B15" s="420"/>
      <c r="C15" s="6"/>
      <c r="D15" s="193" t="s">
        <v>182</v>
      </c>
      <c r="E15" s="191" t="s">
        <v>182</v>
      </c>
      <c r="F15" s="156"/>
      <c r="G15" s="156"/>
      <c r="H15" s="27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281"/>
      <c r="DA15" s="1"/>
    </row>
    <row r="16" spans="1:110" hidden="1" x14ac:dyDescent="0.35">
      <c r="A16" s="427" t="s">
        <v>159</v>
      </c>
      <c r="B16" s="428"/>
      <c r="C16" s="188">
        <f>(E16-D16+1)*DaysPerYearRatio</f>
        <v>63.57534246575343</v>
      </c>
      <c r="D16" s="193">
        <f>+E14+1</f>
        <v>43605</v>
      </c>
      <c r="E16" s="191">
        <f>+D16+90</f>
        <v>43695</v>
      </c>
      <c r="F16" s="198">
        <f>SUM(I16:CZ16)/C16</f>
        <v>0.13035073694490204</v>
      </c>
      <c r="G16" s="198">
        <f>SUM(I16:CZ16)/(C16-SUM(I16:CZ16))</f>
        <v>0.14988886035155932</v>
      </c>
      <c r="H16" s="278"/>
      <c r="I16" s="285" t="str">
        <f>IF(OR(AND(I$9&gt;=$D16,I$9&lt;=$E16),I$9=$D16+1-DAY($D16)),I$51,"")</f>
        <v/>
      </c>
      <c r="J16" s="285" t="str">
        <f t="shared" si="4"/>
        <v/>
      </c>
      <c r="K16" s="285" t="str">
        <f t="shared" si="4"/>
        <v/>
      </c>
      <c r="L16" s="285" t="str">
        <f t="shared" si="4"/>
        <v/>
      </c>
      <c r="M16" s="285" t="str">
        <f t="shared" si="4"/>
        <v/>
      </c>
      <c r="N16" s="285" t="str">
        <f t="shared" si="4"/>
        <v/>
      </c>
      <c r="O16" s="285" t="str">
        <f t="shared" si="4"/>
        <v/>
      </c>
      <c r="P16" s="285" t="str">
        <f t="shared" si="4"/>
        <v/>
      </c>
      <c r="Q16" s="285" t="str">
        <f t="shared" si="4"/>
        <v/>
      </c>
      <c r="R16" s="285">
        <f t="shared" si="4"/>
        <v>2.5361249999999997</v>
      </c>
      <c r="S16" s="285">
        <f t="shared" si="4"/>
        <v>2.758064516129032</v>
      </c>
      <c r="T16" s="285">
        <f t="shared" si="4"/>
        <v>2.9929032258064519</v>
      </c>
      <c r="U16" s="285" t="str">
        <f t="shared" si="4"/>
        <v/>
      </c>
      <c r="V16" s="285" t="str">
        <f t="shared" si="4"/>
        <v/>
      </c>
      <c r="W16" s="285" t="str">
        <f t="shared" si="4"/>
        <v/>
      </c>
      <c r="X16" s="285" t="str">
        <f t="shared" si="4"/>
        <v/>
      </c>
      <c r="Y16" s="285" t="str">
        <f t="shared" si="4"/>
        <v/>
      </c>
      <c r="Z16" s="285" t="str">
        <f t="shared" si="4"/>
        <v/>
      </c>
      <c r="AA16" s="285" t="str">
        <f t="shared" si="4"/>
        <v/>
      </c>
      <c r="AB16" s="285" t="str">
        <f t="shared" si="4"/>
        <v/>
      </c>
      <c r="AC16" s="285" t="str">
        <f t="shared" si="4"/>
        <v/>
      </c>
      <c r="AD16" s="285" t="str">
        <f t="shared" si="4"/>
        <v/>
      </c>
      <c r="AE16" s="285" t="str">
        <f t="shared" si="4"/>
        <v/>
      </c>
      <c r="AF16" s="285" t="str">
        <f t="shared" si="4"/>
        <v/>
      </c>
      <c r="AG16" s="285" t="str">
        <f t="shared" si="4"/>
        <v/>
      </c>
      <c r="AH16" s="285" t="str">
        <f t="shared" si="4"/>
        <v/>
      </c>
      <c r="AI16" s="285" t="str">
        <f t="shared" si="4"/>
        <v/>
      </c>
      <c r="AJ16" s="285" t="str">
        <f t="shared" si="4"/>
        <v/>
      </c>
      <c r="AK16" s="285" t="str">
        <f t="shared" si="4"/>
        <v/>
      </c>
      <c r="AL16" s="285" t="str">
        <f t="shared" si="4"/>
        <v/>
      </c>
      <c r="AM16" s="285" t="str">
        <f t="shared" si="4"/>
        <v/>
      </c>
      <c r="AN16" s="285" t="str">
        <f t="shared" si="4"/>
        <v/>
      </c>
      <c r="AO16" s="285" t="str">
        <f t="shared" si="4"/>
        <v/>
      </c>
      <c r="AP16" s="285" t="str">
        <f t="shared" si="4"/>
        <v/>
      </c>
      <c r="AQ16" s="285" t="str">
        <f t="shared" si="4"/>
        <v/>
      </c>
      <c r="AR16" s="285" t="str">
        <f t="shared" si="4"/>
        <v/>
      </c>
      <c r="AS16" s="285" t="str">
        <f t="shared" si="4"/>
        <v/>
      </c>
      <c r="AT16" s="285" t="str">
        <f t="shared" si="4"/>
        <v/>
      </c>
      <c r="AU16" s="285" t="str">
        <f t="shared" si="4"/>
        <v/>
      </c>
      <c r="AV16" s="285" t="str">
        <f t="shared" si="4"/>
        <v/>
      </c>
      <c r="AW16" s="285" t="str">
        <f t="shared" si="4"/>
        <v/>
      </c>
      <c r="AX16" s="285" t="str">
        <f t="shared" si="4"/>
        <v/>
      </c>
      <c r="AY16" s="285" t="str">
        <f t="shared" si="4"/>
        <v/>
      </c>
      <c r="AZ16" s="285" t="str">
        <f t="shared" si="4"/>
        <v/>
      </c>
      <c r="BA16" s="285" t="str">
        <f t="shared" si="4"/>
        <v/>
      </c>
      <c r="BB16" s="285" t="str">
        <f t="shared" si="4"/>
        <v/>
      </c>
      <c r="BC16" s="285" t="str">
        <f t="shared" si="4"/>
        <v/>
      </c>
      <c r="BD16" s="285" t="str">
        <f t="shared" si="4"/>
        <v/>
      </c>
      <c r="BE16" s="285" t="str">
        <f t="shared" si="4"/>
        <v/>
      </c>
      <c r="BF16" s="285" t="str">
        <f t="shared" si="4"/>
        <v/>
      </c>
      <c r="BG16" s="285" t="str">
        <f t="shared" si="4"/>
        <v/>
      </c>
      <c r="BH16" s="285" t="str">
        <f t="shared" si="4"/>
        <v/>
      </c>
      <c r="BI16" s="285" t="str">
        <f t="shared" si="4"/>
        <v/>
      </c>
      <c r="BJ16" s="285" t="str">
        <f t="shared" si="4"/>
        <v/>
      </c>
      <c r="BK16" s="285" t="str">
        <f t="shared" si="4"/>
        <v/>
      </c>
      <c r="BL16" s="285" t="str">
        <f t="shared" si="4"/>
        <v/>
      </c>
      <c r="BM16" s="285" t="str">
        <f t="shared" si="4"/>
        <v/>
      </c>
      <c r="BN16" s="285" t="str">
        <f t="shared" si="4"/>
        <v/>
      </c>
      <c r="BO16" s="285" t="str">
        <f t="shared" si="4"/>
        <v/>
      </c>
      <c r="BP16" s="285" t="str">
        <f t="shared" si="4"/>
        <v/>
      </c>
      <c r="BQ16" s="285" t="str">
        <f t="shared" si="4"/>
        <v/>
      </c>
      <c r="BR16" s="285" t="str">
        <f t="shared" si="4"/>
        <v/>
      </c>
      <c r="BS16" s="285" t="str">
        <f t="shared" si="4"/>
        <v/>
      </c>
      <c r="BT16" s="285" t="str">
        <f t="shared" si="4"/>
        <v/>
      </c>
      <c r="BU16" s="285" t="str">
        <f t="shared" si="4"/>
        <v/>
      </c>
      <c r="BV16" s="285" t="str">
        <f t="shared" si="5"/>
        <v/>
      </c>
      <c r="BW16" s="285" t="str">
        <f t="shared" si="5"/>
        <v/>
      </c>
      <c r="BX16" s="285" t="str">
        <f t="shared" si="5"/>
        <v/>
      </c>
      <c r="BY16" s="285" t="str">
        <f t="shared" si="5"/>
        <v/>
      </c>
      <c r="BZ16" s="285" t="str">
        <f t="shared" si="5"/>
        <v/>
      </c>
      <c r="CA16" s="285" t="str">
        <f t="shared" si="5"/>
        <v/>
      </c>
      <c r="CB16" s="285" t="str">
        <f t="shared" si="5"/>
        <v/>
      </c>
      <c r="CC16" s="285" t="str">
        <f t="shared" si="5"/>
        <v/>
      </c>
      <c r="CD16" s="285" t="str">
        <f t="shared" si="5"/>
        <v/>
      </c>
      <c r="CE16" s="285" t="str">
        <f t="shared" si="5"/>
        <v/>
      </c>
      <c r="CF16" s="285" t="str">
        <f t="shared" si="5"/>
        <v/>
      </c>
      <c r="CG16" s="285" t="str">
        <f t="shared" si="5"/>
        <v/>
      </c>
      <c r="CH16" s="285" t="str">
        <f t="shared" si="5"/>
        <v/>
      </c>
      <c r="CI16" s="285" t="str">
        <f t="shared" si="5"/>
        <v/>
      </c>
      <c r="CJ16" s="285" t="str">
        <f t="shared" si="5"/>
        <v/>
      </c>
      <c r="CK16" s="285" t="str">
        <f t="shared" si="5"/>
        <v/>
      </c>
      <c r="CL16" s="285" t="str">
        <f t="shared" si="5"/>
        <v/>
      </c>
      <c r="CM16" s="285" t="str">
        <f t="shared" si="5"/>
        <v/>
      </c>
      <c r="CN16" s="285" t="str">
        <f t="shared" si="5"/>
        <v/>
      </c>
      <c r="CO16" s="285" t="str">
        <f t="shared" si="5"/>
        <v/>
      </c>
      <c r="CP16" s="285" t="str">
        <f t="shared" si="5"/>
        <v/>
      </c>
      <c r="CQ16" s="285" t="str">
        <f t="shared" si="5"/>
        <v/>
      </c>
      <c r="CR16" s="285" t="str">
        <f t="shared" si="5"/>
        <v/>
      </c>
      <c r="CS16" s="285" t="str">
        <f t="shared" si="5"/>
        <v/>
      </c>
      <c r="CT16" s="285" t="str">
        <f t="shared" si="5"/>
        <v/>
      </c>
      <c r="CU16" s="285" t="str">
        <f t="shared" si="5"/>
        <v/>
      </c>
      <c r="CV16" s="285" t="str">
        <f t="shared" si="5"/>
        <v/>
      </c>
      <c r="CW16" s="285" t="str">
        <f t="shared" si="5"/>
        <v/>
      </c>
      <c r="CX16" s="285" t="str">
        <f t="shared" si="5"/>
        <v/>
      </c>
      <c r="CY16" s="285" t="str">
        <f t="shared" si="5"/>
        <v/>
      </c>
      <c r="CZ16" s="285" t="str">
        <f t="shared" si="5"/>
        <v/>
      </c>
      <c r="DA16" s="1"/>
    </row>
    <row r="17" spans="1:105" ht="5.15" hidden="1" customHeight="1" x14ac:dyDescent="0.35">
      <c r="A17" s="419"/>
      <c r="B17" s="420"/>
      <c r="C17" s="6"/>
      <c r="D17" s="193" t="s">
        <v>182</v>
      </c>
      <c r="E17" s="191"/>
      <c r="F17" s="156"/>
      <c r="G17" s="156"/>
      <c r="H17" s="27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281"/>
      <c r="DA17" s="1"/>
    </row>
    <row r="18" spans="1:105" ht="15" hidden="1" customHeight="1" x14ac:dyDescent="0.35">
      <c r="A18" s="427" t="s">
        <v>160</v>
      </c>
      <c r="B18" s="428"/>
      <c r="C18" s="188">
        <f>(E18-D18+1)*DaysPerYearRatio</f>
        <v>225.65753424657535</v>
      </c>
      <c r="D18" s="193">
        <f>+E16+1</f>
        <v>43696</v>
      </c>
      <c r="E18" s="191">
        <f>+D18+300+21+1</f>
        <v>44018</v>
      </c>
      <c r="F18" s="198">
        <f>SUM(I18:CZ18)/C18</f>
        <v>9.3963781636859936E-2</v>
      </c>
      <c r="G18" s="198">
        <f>SUM(I18:CZ18)/(C18-SUM(I18:CZ18))</f>
        <v>0.10370863739488964</v>
      </c>
      <c r="H18" s="278"/>
      <c r="I18" s="285" t="str">
        <f>IF(OR(AND(I$9&gt;=$D18,I$9&lt;=$E18),I$9=$D18+1-DAY($D18)),I$51,"")</f>
        <v/>
      </c>
      <c r="J18" s="285" t="str">
        <f t="shared" si="4"/>
        <v/>
      </c>
      <c r="K18" s="285" t="str">
        <f t="shared" si="4"/>
        <v/>
      </c>
      <c r="L18" s="285" t="str">
        <f t="shared" si="4"/>
        <v/>
      </c>
      <c r="M18" s="285" t="str">
        <f t="shared" si="4"/>
        <v/>
      </c>
      <c r="N18" s="285" t="str">
        <f t="shared" si="4"/>
        <v/>
      </c>
      <c r="O18" s="285" t="str">
        <f t="shared" si="4"/>
        <v/>
      </c>
      <c r="P18" s="285" t="str">
        <f t="shared" si="4"/>
        <v/>
      </c>
      <c r="Q18" s="285" t="str">
        <f t="shared" si="4"/>
        <v/>
      </c>
      <c r="R18" s="285" t="str">
        <f t="shared" si="4"/>
        <v/>
      </c>
      <c r="S18" s="285" t="str">
        <f t="shared" si="4"/>
        <v/>
      </c>
      <c r="T18" s="285" t="str">
        <f t="shared" si="4"/>
        <v/>
      </c>
      <c r="U18" s="285">
        <f t="shared" si="4"/>
        <v>2.1845208333333335</v>
      </c>
      <c r="V18" s="285">
        <f t="shared" si="4"/>
        <v>3.3127419354838707</v>
      </c>
      <c r="W18" s="285">
        <f t="shared" si="4"/>
        <v>2.2549999999999999</v>
      </c>
      <c r="X18" s="285">
        <f t="shared" si="4"/>
        <v>2.0916129032258066</v>
      </c>
      <c r="Y18" s="285">
        <f t="shared" si="4"/>
        <v>1.7172379032258065</v>
      </c>
      <c r="Z18" s="285">
        <f t="shared" si="4"/>
        <v>1.7388839285714288</v>
      </c>
      <c r="AA18" s="285">
        <f t="shared" si="4"/>
        <v>1.3855645161290324</v>
      </c>
      <c r="AB18" s="285">
        <f t="shared" si="4"/>
        <v>1.6343958333333333</v>
      </c>
      <c r="AC18" s="285">
        <f t="shared" si="4"/>
        <v>2.3659274193548385</v>
      </c>
      <c r="AD18" s="285">
        <f t="shared" si="4"/>
        <v>2.5177499999999999</v>
      </c>
      <c r="AE18" s="285" t="str">
        <f t="shared" si="4"/>
        <v/>
      </c>
      <c r="AF18" s="285" t="str">
        <f t="shared" si="4"/>
        <v/>
      </c>
      <c r="AG18" s="285" t="str">
        <f t="shared" si="4"/>
        <v/>
      </c>
      <c r="AH18" s="285" t="str">
        <f t="shared" si="4"/>
        <v/>
      </c>
      <c r="AI18" s="285" t="str">
        <f t="shared" si="4"/>
        <v/>
      </c>
      <c r="AJ18" s="285" t="str">
        <f t="shared" si="4"/>
        <v/>
      </c>
      <c r="AK18" s="285" t="str">
        <f t="shared" si="4"/>
        <v/>
      </c>
      <c r="AL18" s="285" t="str">
        <f t="shared" si="4"/>
        <v/>
      </c>
      <c r="AM18" s="285" t="str">
        <f t="shared" si="4"/>
        <v/>
      </c>
      <c r="AN18" s="285" t="str">
        <f t="shared" si="4"/>
        <v/>
      </c>
      <c r="AO18" s="285" t="str">
        <f t="shared" si="4"/>
        <v/>
      </c>
      <c r="AP18" s="285" t="str">
        <f t="shared" si="4"/>
        <v/>
      </c>
      <c r="AQ18" s="285" t="str">
        <f t="shared" si="4"/>
        <v/>
      </c>
      <c r="AR18" s="285" t="str">
        <f t="shared" si="4"/>
        <v/>
      </c>
      <c r="AS18" s="285" t="str">
        <f t="shared" si="4"/>
        <v/>
      </c>
      <c r="AT18" s="285" t="str">
        <f t="shared" si="4"/>
        <v/>
      </c>
      <c r="AU18" s="285" t="str">
        <f t="shared" si="4"/>
        <v/>
      </c>
      <c r="AV18" s="285" t="str">
        <f t="shared" si="4"/>
        <v/>
      </c>
      <c r="AW18" s="285" t="str">
        <f t="shared" si="4"/>
        <v/>
      </c>
      <c r="AX18" s="285" t="str">
        <f t="shared" si="4"/>
        <v/>
      </c>
      <c r="AY18" s="285" t="str">
        <f t="shared" si="4"/>
        <v/>
      </c>
      <c r="AZ18" s="285" t="str">
        <f t="shared" si="4"/>
        <v/>
      </c>
      <c r="BA18" s="285" t="str">
        <f t="shared" si="4"/>
        <v/>
      </c>
      <c r="BB18" s="285" t="str">
        <f t="shared" si="4"/>
        <v/>
      </c>
      <c r="BC18" s="285" t="str">
        <f t="shared" si="4"/>
        <v/>
      </c>
      <c r="BD18" s="285" t="str">
        <f t="shared" si="4"/>
        <v/>
      </c>
      <c r="BE18" s="285" t="str">
        <f t="shared" si="4"/>
        <v/>
      </c>
      <c r="BF18" s="285" t="str">
        <f t="shared" si="4"/>
        <v/>
      </c>
      <c r="BG18" s="285" t="str">
        <f t="shared" si="4"/>
        <v/>
      </c>
      <c r="BH18" s="285" t="str">
        <f t="shared" si="4"/>
        <v/>
      </c>
      <c r="BI18" s="285" t="str">
        <f t="shared" si="4"/>
        <v/>
      </c>
      <c r="BJ18" s="285" t="str">
        <f t="shared" si="4"/>
        <v/>
      </c>
      <c r="BK18" s="285" t="str">
        <f t="shared" si="4"/>
        <v/>
      </c>
      <c r="BL18" s="285" t="str">
        <f t="shared" si="4"/>
        <v/>
      </c>
      <c r="BM18" s="285" t="str">
        <f t="shared" si="4"/>
        <v/>
      </c>
      <c r="BN18" s="285" t="str">
        <f t="shared" si="4"/>
        <v/>
      </c>
      <c r="BO18" s="285" t="str">
        <f t="shared" si="4"/>
        <v/>
      </c>
      <c r="BP18" s="285" t="str">
        <f t="shared" si="4"/>
        <v/>
      </c>
      <c r="BQ18" s="285" t="str">
        <f t="shared" si="4"/>
        <v/>
      </c>
      <c r="BR18" s="285" t="str">
        <f t="shared" si="4"/>
        <v/>
      </c>
      <c r="BS18" s="285" t="str">
        <f t="shared" si="4"/>
        <v/>
      </c>
      <c r="BT18" s="285" t="str">
        <f t="shared" si="4"/>
        <v/>
      </c>
      <c r="BU18" s="285" t="str">
        <f t="shared" ref="BU18:BU28" si="6">IF(OR(AND(BU$9&gt;=$D18,BU$9&lt;=$E18),BU$9=$D18+1-DAY($D18)),BU$51,"")</f>
        <v/>
      </c>
      <c r="BV18" s="285" t="str">
        <f t="shared" si="5"/>
        <v/>
      </c>
      <c r="BW18" s="285" t="str">
        <f t="shared" si="5"/>
        <v/>
      </c>
      <c r="BX18" s="285" t="str">
        <f t="shared" si="5"/>
        <v/>
      </c>
      <c r="BY18" s="285" t="str">
        <f t="shared" si="5"/>
        <v/>
      </c>
      <c r="BZ18" s="285" t="str">
        <f t="shared" si="5"/>
        <v/>
      </c>
      <c r="CA18" s="285" t="str">
        <f t="shared" si="5"/>
        <v/>
      </c>
      <c r="CB18" s="285" t="str">
        <f t="shared" si="5"/>
        <v/>
      </c>
      <c r="CC18" s="285" t="str">
        <f t="shared" si="5"/>
        <v/>
      </c>
      <c r="CD18" s="285" t="str">
        <f t="shared" si="5"/>
        <v/>
      </c>
      <c r="CE18" s="285" t="str">
        <f t="shared" si="5"/>
        <v/>
      </c>
      <c r="CF18" s="285" t="str">
        <f t="shared" si="5"/>
        <v/>
      </c>
      <c r="CG18" s="285" t="str">
        <f t="shared" si="5"/>
        <v/>
      </c>
      <c r="CH18" s="285" t="str">
        <f t="shared" si="5"/>
        <v/>
      </c>
      <c r="CI18" s="285" t="str">
        <f t="shared" si="5"/>
        <v/>
      </c>
      <c r="CJ18" s="285" t="str">
        <f t="shared" si="5"/>
        <v/>
      </c>
      <c r="CK18" s="285" t="str">
        <f t="shared" si="5"/>
        <v/>
      </c>
      <c r="CL18" s="285" t="str">
        <f t="shared" si="5"/>
        <v/>
      </c>
      <c r="CM18" s="285" t="str">
        <f t="shared" si="5"/>
        <v/>
      </c>
      <c r="CN18" s="285" t="str">
        <f t="shared" si="5"/>
        <v/>
      </c>
      <c r="CO18" s="285" t="str">
        <f t="shared" si="5"/>
        <v/>
      </c>
      <c r="CP18" s="285" t="str">
        <f t="shared" si="5"/>
        <v/>
      </c>
      <c r="CQ18" s="285" t="str">
        <f t="shared" si="5"/>
        <v/>
      </c>
      <c r="CR18" s="285" t="str">
        <f t="shared" si="5"/>
        <v/>
      </c>
      <c r="CS18" s="285" t="str">
        <f t="shared" si="5"/>
        <v/>
      </c>
      <c r="CT18" s="285" t="str">
        <f t="shared" si="5"/>
        <v/>
      </c>
      <c r="CU18" s="285" t="str">
        <f t="shared" si="5"/>
        <v/>
      </c>
      <c r="CV18" s="285" t="str">
        <f t="shared" si="5"/>
        <v/>
      </c>
      <c r="CW18" s="285" t="str">
        <f t="shared" si="5"/>
        <v/>
      </c>
      <c r="CX18" s="285" t="str">
        <f t="shared" si="5"/>
        <v/>
      </c>
      <c r="CY18" s="285" t="str">
        <f t="shared" si="5"/>
        <v/>
      </c>
      <c r="CZ18" s="285" t="str">
        <f t="shared" si="5"/>
        <v/>
      </c>
      <c r="DA18" s="1"/>
    </row>
    <row r="19" spans="1:105" ht="5.15" hidden="1" customHeight="1" x14ac:dyDescent="0.35">
      <c r="A19" s="419"/>
      <c r="B19" s="420"/>
      <c r="C19" s="6"/>
      <c r="D19" s="193" t="s">
        <v>182</v>
      </c>
      <c r="E19" s="191" t="s">
        <v>182</v>
      </c>
      <c r="F19" s="156"/>
      <c r="G19" s="156"/>
      <c r="H19" s="27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281"/>
      <c r="DA19" s="1"/>
    </row>
    <row r="20" spans="1:105" ht="15" hidden="1" customHeight="1" x14ac:dyDescent="0.35">
      <c r="A20" s="427" t="s">
        <v>161</v>
      </c>
      <c r="B20" s="428"/>
      <c r="C20" s="188">
        <f>(E20-D20+1)*DaysPerYearRatio</f>
        <v>319.27397260273972</v>
      </c>
      <c r="D20" s="193">
        <f>+E18+1</f>
        <v>44019</v>
      </c>
      <c r="E20" s="191">
        <f>+D20+(15*30)-11+17</f>
        <v>44475</v>
      </c>
      <c r="F20" s="198">
        <f>SUM(I20:CZ20)/C20</f>
        <v>3.8263616370997233E-2</v>
      </c>
      <c r="G20" s="198">
        <f>SUM(I20:CZ20)/(C20-SUM(I20:CZ20))</f>
        <v>3.9785971522272909E-2</v>
      </c>
      <c r="H20" s="278"/>
      <c r="I20" s="285" t="str">
        <f>IF(OR(AND(I$9&gt;=$D20,I$9&lt;=$E20),I$9=$D20+1-DAY($D20)),I$51,"")</f>
        <v/>
      </c>
      <c r="J20" s="285" t="str">
        <f t="shared" ref="J20:BT28" si="7">IF(OR(AND(J$9&gt;=$D20,J$9&lt;=$E20),J$9=$D20+1-DAY($D20)),J$51,"")</f>
        <v/>
      </c>
      <c r="K20" s="285" t="str">
        <f t="shared" si="7"/>
        <v/>
      </c>
      <c r="L20" s="285" t="str">
        <f t="shared" si="7"/>
        <v/>
      </c>
      <c r="M20" s="285" t="str">
        <f t="shared" si="7"/>
        <v/>
      </c>
      <c r="N20" s="285" t="str">
        <f t="shared" si="7"/>
        <v/>
      </c>
      <c r="O20" s="285" t="str">
        <f t="shared" si="7"/>
        <v/>
      </c>
      <c r="P20" s="285" t="str">
        <f t="shared" si="7"/>
        <v/>
      </c>
      <c r="Q20" s="285" t="str">
        <f t="shared" si="7"/>
        <v/>
      </c>
      <c r="R20" s="285" t="str">
        <f t="shared" si="7"/>
        <v/>
      </c>
      <c r="S20" s="285" t="str">
        <f t="shared" si="7"/>
        <v/>
      </c>
      <c r="T20" s="285" t="str">
        <f t="shared" si="7"/>
        <v/>
      </c>
      <c r="U20" s="285" t="str">
        <f t="shared" si="7"/>
        <v/>
      </c>
      <c r="V20" s="285" t="str">
        <f t="shared" si="7"/>
        <v/>
      </c>
      <c r="W20" s="285" t="str">
        <f t="shared" si="7"/>
        <v/>
      </c>
      <c r="X20" s="285" t="str">
        <f t="shared" si="7"/>
        <v/>
      </c>
      <c r="Y20" s="285" t="str">
        <f t="shared" si="7"/>
        <v/>
      </c>
      <c r="Z20" s="285" t="str">
        <f t="shared" si="7"/>
        <v/>
      </c>
      <c r="AA20" s="285" t="str">
        <f t="shared" si="7"/>
        <v/>
      </c>
      <c r="AB20" s="285" t="str">
        <f t="shared" si="7"/>
        <v/>
      </c>
      <c r="AC20" s="285" t="str">
        <f t="shared" si="7"/>
        <v/>
      </c>
      <c r="AD20" s="285" t="str">
        <f t="shared" si="7"/>
        <v/>
      </c>
      <c r="AE20" s="285">
        <f t="shared" si="7"/>
        <v>0.79435483870967738</v>
      </c>
      <c r="AF20" s="285">
        <f t="shared" si="7"/>
        <v>1.0341935483870968</v>
      </c>
      <c r="AG20" s="285">
        <f t="shared" si="7"/>
        <v>0.42837500000000001</v>
      </c>
      <c r="AH20" s="285">
        <f t="shared" si="7"/>
        <v>1.4256451612903227</v>
      </c>
      <c r="AI20" s="285">
        <f t="shared" si="7"/>
        <v>0.90500000000000003</v>
      </c>
      <c r="AJ20" s="285">
        <f t="shared" si="7"/>
        <v>1.3609677419354838</v>
      </c>
      <c r="AK20" s="285">
        <f t="shared" si="7"/>
        <v>1.059475806451613</v>
      </c>
      <c r="AL20" s="285">
        <f t="shared" si="7"/>
        <v>0.69044642857142846</v>
      </c>
      <c r="AM20" s="285">
        <f t="shared" si="7"/>
        <v>0.37467741935483878</v>
      </c>
      <c r="AN20" s="285">
        <f t="shared" si="7"/>
        <v>0.33804166666666668</v>
      </c>
      <c r="AO20" s="285">
        <f t="shared" si="7"/>
        <v>0.46572580645161288</v>
      </c>
      <c r="AP20" s="285">
        <f t="shared" si="7"/>
        <v>1.0827499999999999</v>
      </c>
      <c r="AQ20" s="285">
        <f t="shared" si="7"/>
        <v>0.79435483870967738</v>
      </c>
      <c r="AR20" s="285">
        <f t="shared" si="7"/>
        <v>1.0341935483870968</v>
      </c>
      <c r="AS20" s="285">
        <f t="shared" si="7"/>
        <v>0.42837500000000001</v>
      </c>
      <c r="AT20" s="285" t="str">
        <f t="shared" si="7"/>
        <v/>
      </c>
      <c r="AU20" s="285" t="str">
        <f t="shared" si="7"/>
        <v/>
      </c>
      <c r="AV20" s="285" t="str">
        <f t="shared" si="7"/>
        <v/>
      </c>
      <c r="AW20" s="285" t="str">
        <f t="shared" si="7"/>
        <v/>
      </c>
      <c r="AX20" s="285" t="str">
        <f t="shared" si="7"/>
        <v/>
      </c>
      <c r="AY20" s="285" t="str">
        <f t="shared" si="7"/>
        <v/>
      </c>
      <c r="AZ20" s="285" t="str">
        <f t="shared" si="7"/>
        <v/>
      </c>
      <c r="BA20" s="285" t="str">
        <f t="shared" si="7"/>
        <v/>
      </c>
      <c r="BB20" s="285" t="str">
        <f t="shared" si="7"/>
        <v/>
      </c>
      <c r="BC20" s="285" t="str">
        <f t="shared" si="7"/>
        <v/>
      </c>
      <c r="BD20" s="285" t="str">
        <f t="shared" si="7"/>
        <v/>
      </c>
      <c r="BE20" s="285" t="str">
        <f t="shared" si="7"/>
        <v/>
      </c>
      <c r="BF20" s="285" t="str">
        <f t="shared" si="7"/>
        <v/>
      </c>
      <c r="BG20" s="285" t="str">
        <f t="shared" si="7"/>
        <v/>
      </c>
      <c r="BH20" s="285" t="str">
        <f t="shared" si="7"/>
        <v/>
      </c>
      <c r="BI20" s="285" t="str">
        <f t="shared" si="7"/>
        <v/>
      </c>
      <c r="BJ20" s="285" t="str">
        <f t="shared" si="7"/>
        <v/>
      </c>
      <c r="BK20" s="285" t="str">
        <f t="shared" si="7"/>
        <v/>
      </c>
      <c r="BL20" s="285" t="str">
        <f t="shared" si="7"/>
        <v/>
      </c>
      <c r="BM20" s="285" t="str">
        <f t="shared" si="7"/>
        <v/>
      </c>
      <c r="BN20" s="285" t="str">
        <f t="shared" si="7"/>
        <v/>
      </c>
      <c r="BO20" s="285" t="str">
        <f t="shared" si="7"/>
        <v/>
      </c>
      <c r="BP20" s="285" t="str">
        <f t="shared" si="7"/>
        <v/>
      </c>
      <c r="BQ20" s="285" t="str">
        <f t="shared" si="7"/>
        <v/>
      </c>
      <c r="BR20" s="285" t="str">
        <f t="shared" si="7"/>
        <v/>
      </c>
      <c r="BS20" s="285" t="str">
        <f t="shared" si="7"/>
        <v/>
      </c>
      <c r="BT20" s="285" t="str">
        <f t="shared" si="7"/>
        <v/>
      </c>
      <c r="BU20" s="285" t="str">
        <f t="shared" si="6"/>
        <v/>
      </c>
      <c r="BV20" s="285" t="str">
        <f t="shared" si="5"/>
        <v/>
      </c>
      <c r="BW20" s="285" t="str">
        <f t="shared" si="5"/>
        <v/>
      </c>
      <c r="BX20" s="285" t="str">
        <f t="shared" si="5"/>
        <v/>
      </c>
      <c r="BY20" s="285" t="str">
        <f t="shared" si="5"/>
        <v/>
      </c>
      <c r="BZ20" s="285" t="str">
        <f t="shared" si="5"/>
        <v/>
      </c>
      <c r="CA20" s="285" t="str">
        <f t="shared" si="5"/>
        <v/>
      </c>
      <c r="CB20" s="285" t="str">
        <f t="shared" si="5"/>
        <v/>
      </c>
      <c r="CC20" s="285" t="str">
        <f t="shared" si="5"/>
        <v/>
      </c>
      <c r="CD20" s="285" t="str">
        <f t="shared" si="5"/>
        <v/>
      </c>
      <c r="CE20" s="285" t="str">
        <f t="shared" si="5"/>
        <v/>
      </c>
      <c r="CF20" s="285" t="str">
        <f t="shared" si="5"/>
        <v/>
      </c>
      <c r="CG20" s="285" t="str">
        <f t="shared" si="5"/>
        <v/>
      </c>
      <c r="CH20" s="285" t="str">
        <f t="shared" si="5"/>
        <v/>
      </c>
      <c r="CI20" s="285" t="str">
        <f t="shared" si="5"/>
        <v/>
      </c>
      <c r="CJ20" s="285" t="str">
        <f t="shared" si="5"/>
        <v/>
      </c>
      <c r="CK20" s="285" t="str">
        <f t="shared" si="5"/>
        <v/>
      </c>
      <c r="CL20" s="285" t="str">
        <f t="shared" si="5"/>
        <v/>
      </c>
      <c r="CM20" s="285" t="str">
        <f t="shared" si="5"/>
        <v/>
      </c>
      <c r="CN20" s="285" t="str">
        <f t="shared" si="5"/>
        <v/>
      </c>
      <c r="CO20" s="285" t="str">
        <f t="shared" si="5"/>
        <v/>
      </c>
      <c r="CP20" s="285" t="str">
        <f t="shared" si="5"/>
        <v/>
      </c>
      <c r="CQ20" s="285" t="str">
        <f t="shared" si="5"/>
        <v/>
      </c>
      <c r="CR20" s="285" t="str">
        <f t="shared" si="5"/>
        <v/>
      </c>
      <c r="CS20" s="285" t="str">
        <f t="shared" si="5"/>
        <v/>
      </c>
      <c r="CT20" s="285" t="str">
        <f t="shared" si="5"/>
        <v/>
      </c>
      <c r="CU20" s="285" t="str">
        <f t="shared" si="5"/>
        <v/>
      </c>
      <c r="CV20" s="285" t="str">
        <f t="shared" si="5"/>
        <v/>
      </c>
      <c r="CW20" s="285" t="str">
        <f t="shared" si="5"/>
        <v/>
      </c>
      <c r="CX20" s="285" t="str">
        <f t="shared" si="5"/>
        <v/>
      </c>
      <c r="CY20" s="285" t="str">
        <f t="shared" si="5"/>
        <v/>
      </c>
      <c r="CZ20" s="285" t="str">
        <f t="shared" si="5"/>
        <v/>
      </c>
      <c r="DA20" s="1"/>
    </row>
    <row r="21" spans="1:105" ht="5.15" hidden="1" customHeight="1" x14ac:dyDescent="0.35">
      <c r="A21" s="419"/>
      <c r="B21" s="420"/>
      <c r="C21" s="6"/>
      <c r="D21" s="193" t="s">
        <v>182</v>
      </c>
      <c r="E21" s="191" t="s">
        <v>182</v>
      </c>
      <c r="F21" s="156"/>
      <c r="G21" s="156"/>
      <c r="H21" s="27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281"/>
      <c r="DA21" s="1"/>
    </row>
    <row r="22" spans="1:105" hidden="1" x14ac:dyDescent="0.35">
      <c r="A22" s="421" t="s">
        <v>162</v>
      </c>
      <c r="B22" s="422"/>
      <c r="C22" s="188">
        <f>(E22-D22+1)*DaysPerYearRatio</f>
        <v>115.97260273972603</v>
      </c>
      <c r="D22" s="193">
        <f>+E20+1</f>
        <v>44476</v>
      </c>
      <c r="E22" s="191">
        <f>+D22+180+3-18</f>
        <v>44641</v>
      </c>
      <c r="F22" s="198">
        <f>SUM(I22:CZ22)/C22</f>
        <v>3.5710404643785228E-2</v>
      </c>
      <c r="G22" s="198">
        <f>SUM(I22:CZ22)/(C22-SUM(I22:CZ22))</f>
        <v>3.7032863172803993E-2</v>
      </c>
      <c r="H22" s="278"/>
      <c r="I22" s="285" t="str">
        <f>IF(OR(AND(I$9&gt;=$D22,I$9&lt;=$E22),I$9=$D22+1-DAY($D22)),I$51,"")</f>
        <v/>
      </c>
      <c r="J22" s="285" t="str">
        <f t="shared" si="7"/>
        <v/>
      </c>
      <c r="K22" s="285" t="str">
        <f t="shared" si="7"/>
        <v/>
      </c>
      <c r="L22" s="285" t="str">
        <f t="shared" si="7"/>
        <v/>
      </c>
      <c r="M22" s="285" t="str">
        <f t="shared" si="7"/>
        <v/>
      </c>
      <c r="N22" s="285" t="str">
        <f t="shared" si="7"/>
        <v/>
      </c>
      <c r="O22" s="285" t="str">
        <f t="shared" si="7"/>
        <v/>
      </c>
      <c r="P22" s="285" t="str">
        <f t="shared" si="7"/>
        <v/>
      </c>
      <c r="Q22" s="285" t="str">
        <f t="shared" si="7"/>
        <v/>
      </c>
      <c r="R22" s="285" t="str">
        <f t="shared" si="7"/>
        <v/>
      </c>
      <c r="S22" s="285" t="str">
        <f t="shared" si="7"/>
        <v/>
      </c>
      <c r="T22" s="285" t="str">
        <f t="shared" si="7"/>
        <v/>
      </c>
      <c r="U22" s="285" t="str">
        <f t="shared" si="7"/>
        <v/>
      </c>
      <c r="V22" s="285" t="str">
        <f t="shared" si="7"/>
        <v/>
      </c>
      <c r="W22" s="285" t="str">
        <f t="shared" si="7"/>
        <v/>
      </c>
      <c r="X22" s="285" t="str">
        <f t="shared" si="7"/>
        <v/>
      </c>
      <c r="Y22" s="285" t="str">
        <f t="shared" si="7"/>
        <v/>
      </c>
      <c r="Z22" s="285" t="str">
        <f t="shared" si="7"/>
        <v/>
      </c>
      <c r="AA22" s="285" t="str">
        <f t="shared" si="7"/>
        <v/>
      </c>
      <c r="AB22" s="285" t="str">
        <f t="shared" si="7"/>
        <v/>
      </c>
      <c r="AC22" s="285" t="str">
        <f t="shared" si="7"/>
        <v/>
      </c>
      <c r="AD22" s="285" t="str">
        <f t="shared" si="7"/>
        <v/>
      </c>
      <c r="AE22" s="285" t="str">
        <f t="shared" si="7"/>
        <v/>
      </c>
      <c r="AF22" s="285" t="str">
        <f t="shared" si="7"/>
        <v/>
      </c>
      <c r="AG22" s="285" t="str">
        <f t="shared" si="7"/>
        <v/>
      </c>
      <c r="AH22" s="285" t="str">
        <f t="shared" si="7"/>
        <v/>
      </c>
      <c r="AI22" s="285" t="str">
        <f t="shared" si="7"/>
        <v/>
      </c>
      <c r="AJ22" s="285" t="str">
        <f t="shared" si="7"/>
        <v/>
      </c>
      <c r="AK22" s="285" t="str">
        <f t="shared" si="7"/>
        <v/>
      </c>
      <c r="AL22" s="285" t="str">
        <f t="shared" si="7"/>
        <v/>
      </c>
      <c r="AM22" s="285" t="str">
        <f t="shared" si="7"/>
        <v/>
      </c>
      <c r="AN22" s="285" t="str">
        <f t="shared" si="7"/>
        <v/>
      </c>
      <c r="AO22" s="285" t="str">
        <f t="shared" si="7"/>
        <v/>
      </c>
      <c r="AP22" s="285" t="str">
        <f t="shared" si="7"/>
        <v/>
      </c>
      <c r="AQ22" s="285" t="str">
        <f t="shared" si="7"/>
        <v/>
      </c>
      <c r="AR22" s="285" t="str">
        <f t="shared" si="7"/>
        <v/>
      </c>
      <c r="AS22" s="285" t="str">
        <f t="shared" si="7"/>
        <v/>
      </c>
      <c r="AT22" s="285">
        <f t="shared" si="7"/>
        <v>1.0167741935483869</v>
      </c>
      <c r="AU22" s="285">
        <f t="shared" si="7"/>
        <v>0.57999999999999996</v>
      </c>
      <c r="AV22" s="285">
        <f t="shared" si="7"/>
        <v>1.1625806451612903</v>
      </c>
      <c r="AW22" s="285">
        <f t="shared" si="7"/>
        <v>0.88709677419354838</v>
      </c>
      <c r="AX22" s="285">
        <f t="shared" si="7"/>
        <v>0.36142857142857138</v>
      </c>
      <c r="AY22" s="285">
        <f t="shared" si="7"/>
        <v>0.13354838709677422</v>
      </c>
      <c r="AZ22" s="285" t="str">
        <f t="shared" si="7"/>
        <v/>
      </c>
      <c r="BA22" s="285" t="str">
        <f t="shared" si="7"/>
        <v/>
      </c>
      <c r="BB22" s="285" t="str">
        <f t="shared" si="7"/>
        <v/>
      </c>
      <c r="BC22" s="285" t="str">
        <f t="shared" si="7"/>
        <v/>
      </c>
      <c r="BD22" s="285" t="str">
        <f t="shared" si="7"/>
        <v/>
      </c>
      <c r="BE22" s="285" t="str">
        <f t="shared" si="7"/>
        <v/>
      </c>
      <c r="BF22" s="285" t="str">
        <f t="shared" si="7"/>
        <v/>
      </c>
      <c r="BG22" s="285" t="str">
        <f t="shared" si="7"/>
        <v/>
      </c>
      <c r="BH22" s="285" t="str">
        <f t="shared" si="7"/>
        <v/>
      </c>
      <c r="BI22" s="285" t="str">
        <f t="shared" si="7"/>
        <v/>
      </c>
      <c r="BJ22" s="285" t="str">
        <f t="shared" si="7"/>
        <v/>
      </c>
      <c r="BK22" s="285" t="str">
        <f t="shared" si="7"/>
        <v/>
      </c>
      <c r="BL22" s="285" t="str">
        <f t="shared" si="7"/>
        <v/>
      </c>
      <c r="BM22" s="285" t="str">
        <f t="shared" si="7"/>
        <v/>
      </c>
      <c r="BN22" s="285" t="str">
        <f t="shared" si="7"/>
        <v/>
      </c>
      <c r="BO22" s="285" t="str">
        <f t="shared" si="7"/>
        <v/>
      </c>
      <c r="BP22" s="285" t="str">
        <f t="shared" si="7"/>
        <v/>
      </c>
      <c r="BQ22" s="285" t="str">
        <f t="shared" si="7"/>
        <v/>
      </c>
      <c r="BR22" s="285" t="str">
        <f t="shared" si="7"/>
        <v/>
      </c>
      <c r="BS22" s="285" t="str">
        <f t="shared" si="7"/>
        <v/>
      </c>
      <c r="BT22" s="285" t="str">
        <f t="shared" si="7"/>
        <v/>
      </c>
      <c r="BU22" s="285" t="str">
        <f t="shared" si="6"/>
        <v/>
      </c>
      <c r="BV22" s="285" t="str">
        <f t="shared" si="5"/>
        <v/>
      </c>
      <c r="BW22" s="285" t="str">
        <f t="shared" si="5"/>
        <v/>
      </c>
      <c r="BX22" s="285" t="str">
        <f t="shared" si="5"/>
        <v/>
      </c>
      <c r="BY22" s="285" t="str">
        <f t="shared" si="5"/>
        <v/>
      </c>
      <c r="BZ22" s="285" t="str">
        <f t="shared" si="5"/>
        <v/>
      </c>
      <c r="CA22" s="285" t="str">
        <f t="shared" si="5"/>
        <v/>
      </c>
      <c r="CB22" s="285" t="str">
        <f t="shared" si="5"/>
        <v/>
      </c>
      <c r="CC22" s="285" t="str">
        <f t="shared" si="5"/>
        <v/>
      </c>
      <c r="CD22" s="285" t="str">
        <f t="shared" si="5"/>
        <v/>
      </c>
      <c r="CE22" s="285" t="str">
        <f t="shared" si="5"/>
        <v/>
      </c>
      <c r="CF22" s="285" t="str">
        <f t="shared" si="5"/>
        <v/>
      </c>
      <c r="CG22" s="285" t="str">
        <f t="shared" si="5"/>
        <v/>
      </c>
      <c r="CH22" s="285" t="str">
        <f t="shared" si="5"/>
        <v/>
      </c>
      <c r="CI22" s="285" t="str">
        <f t="shared" si="5"/>
        <v/>
      </c>
      <c r="CJ22" s="285" t="str">
        <f t="shared" si="5"/>
        <v/>
      </c>
      <c r="CK22" s="285" t="str">
        <f t="shared" si="5"/>
        <v/>
      </c>
      <c r="CL22" s="285" t="str">
        <f t="shared" si="5"/>
        <v/>
      </c>
      <c r="CM22" s="285" t="str">
        <f t="shared" si="5"/>
        <v/>
      </c>
      <c r="CN22" s="285" t="str">
        <f t="shared" si="5"/>
        <v/>
      </c>
      <c r="CO22" s="285" t="str">
        <f t="shared" si="5"/>
        <v/>
      </c>
      <c r="CP22" s="285" t="str">
        <f t="shared" si="5"/>
        <v/>
      </c>
      <c r="CQ22" s="285" t="str">
        <f t="shared" si="5"/>
        <v/>
      </c>
      <c r="CR22" s="285" t="str">
        <f t="shared" si="5"/>
        <v/>
      </c>
      <c r="CS22" s="285" t="str">
        <f t="shared" si="5"/>
        <v/>
      </c>
      <c r="CT22" s="285" t="str">
        <f t="shared" si="5"/>
        <v/>
      </c>
      <c r="CU22" s="285" t="str">
        <f t="shared" si="5"/>
        <v/>
      </c>
      <c r="CV22" s="285" t="str">
        <f t="shared" si="5"/>
        <v/>
      </c>
      <c r="CW22" s="285" t="str">
        <f t="shared" si="5"/>
        <v/>
      </c>
      <c r="CX22" s="285" t="str">
        <f t="shared" si="5"/>
        <v/>
      </c>
      <c r="CY22" s="285" t="str">
        <f t="shared" si="5"/>
        <v/>
      </c>
      <c r="CZ22" s="285" t="str">
        <f t="shared" si="5"/>
        <v/>
      </c>
      <c r="DA22" s="1"/>
    </row>
    <row r="23" spans="1:105" ht="5.15" hidden="1" customHeight="1" x14ac:dyDescent="0.35">
      <c r="A23" s="419"/>
      <c r="B23" s="420"/>
      <c r="C23" s="6"/>
      <c r="D23" s="193" t="s">
        <v>182</v>
      </c>
      <c r="E23" s="191" t="s">
        <v>182</v>
      </c>
      <c r="F23" s="156"/>
      <c r="G23" s="156"/>
      <c r="H23" s="27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281"/>
      <c r="DA23" s="1"/>
    </row>
    <row r="24" spans="1:105" hidden="1" x14ac:dyDescent="0.35">
      <c r="A24" s="421"/>
      <c r="B24" s="422"/>
      <c r="C24" s="188"/>
      <c r="D24" s="193"/>
      <c r="E24" s="191"/>
      <c r="F24" s="198"/>
      <c r="G24" s="198"/>
      <c r="H24" s="278"/>
      <c r="I24" s="285" t="str">
        <f>IF(OR(AND(I$9&gt;=$D24,I$9&lt;=$E24),I$9=$D24+1-DAY($D24)),I$51,"")</f>
        <v/>
      </c>
      <c r="J24" s="285" t="str">
        <f t="shared" si="7"/>
        <v/>
      </c>
      <c r="K24" s="285" t="str">
        <f t="shared" si="7"/>
        <v/>
      </c>
      <c r="L24" s="285" t="str">
        <f t="shared" si="7"/>
        <v/>
      </c>
      <c r="M24" s="285" t="str">
        <f t="shared" si="7"/>
        <v/>
      </c>
      <c r="N24" s="285" t="str">
        <f t="shared" si="7"/>
        <v/>
      </c>
      <c r="O24" s="285" t="str">
        <f t="shared" si="7"/>
        <v/>
      </c>
      <c r="P24" s="285" t="str">
        <f t="shared" si="7"/>
        <v/>
      </c>
      <c r="Q24" s="285" t="str">
        <f t="shared" si="7"/>
        <v/>
      </c>
      <c r="R24" s="285" t="str">
        <f t="shared" si="7"/>
        <v/>
      </c>
      <c r="S24" s="285" t="str">
        <f t="shared" si="7"/>
        <v/>
      </c>
      <c r="T24" s="285" t="str">
        <f t="shared" si="7"/>
        <v/>
      </c>
      <c r="U24" s="285" t="str">
        <f t="shared" si="7"/>
        <v/>
      </c>
      <c r="V24" s="285" t="str">
        <f t="shared" si="7"/>
        <v/>
      </c>
      <c r="W24" s="285" t="str">
        <f t="shared" si="7"/>
        <v/>
      </c>
      <c r="X24" s="285" t="str">
        <f t="shared" si="7"/>
        <v/>
      </c>
      <c r="Y24" s="285" t="str">
        <f t="shared" si="7"/>
        <v/>
      </c>
      <c r="Z24" s="285" t="str">
        <f t="shared" si="7"/>
        <v/>
      </c>
      <c r="AA24" s="285" t="str">
        <f t="shared" si="7"/>
        <v/>
      </c>
      <c r="AB24" s="285" t="str">
        <f t="shared" si="7"/>
        <v/>
      </c>
      <c r="AC24" s="285" t="str">
        <f t="shared" si="7"/>
        <v/>
      </c>
      <c r="AD24" s="285" t="str">
        <f t="shared" si="7"/>
        <v/>
      </c>
      <c r="AE24" s="285" t="str">
        <f t="shared" si="7"/>
        <v/>
      </c>
      <c r="AF24" s="285" t="str">
        <f t="shared" si="7"/>
        <v/>
      </c>
      <c r="AG24" s="285" t="str">
        <f t="shared" si="7"/>
        <v/>
      </c>
      <c r="AH24" s="285" t="str">
        <f t="shared" si="7"/>
        <v/>
      </c>
      <c r="AI24" s="285" t="str">
        <f t="shared" si="7"/>
        <v/>
      </c>
      <c r="AJ24" s="285" t="str">
        <f t="shared" si="7"/>
        <v/>
      </c>
      <c r="AK24" s="285" t="str">
        <f t="shared" si="7"/>
        <v/>
      </c>
      <c r="AL24" s="285" t="str">
        <f t="shared" si="7"/>
        <v/>
      </c>
      <c r="AM24" s="285" t="str">
        <f t="shared" si="7"/>
        <v/>
      </c>
      <c r="AN24" s="285" t="str">
        <f t="shared" si="7"/>
        <v/>
      </c>
      <c r="AO24" s="285" t="str">
        <f t="shared" si="7"/>
        <v/>
      </c>
      <c r="AP24" s="285" t="str">
        <f t="shared" si="7"/>
        <v/>
      </c>
      <c r="AQ24" s="285" t="str">
        <f t="shared" si="7"/>
        <v/>
      </c>
      <c r="AR24" s="285" t="str">
        <f t="shared" si="7"/>
        <v/>
      </c>
      <c r="AS24" s="285" t="str">
        <f t="shared" si="7"/>
        <v/>
      </c>
      <c r="AT24" s="285" t="str">
        <f t="shared" si="7"/>
        <v/>
      </c>
      <c r="AU24" s="285" t="str">
        <f t="shared" si="7"/>
        <v/>
      </c>
      <c r="AV24" s="285" t="str">
        <f t="shared" si="7"/>
        <v/>
      </c>
      <c r="AW24" s="285" t="str">
        <f t="shared" si="7"/>
        <v/>
      </c>
      <c r="AX24" s="285" t="str">
        <f t="shared" si="7"/>
        <v/>
      </c>
      <c r="AY24" s="285" t="str">
        <f t="shared" si="7"/>
        <v/>
      </c>
      <c r="AZ24" s="285" t="str">
        <f t="shared" si="7"/>
        <v/>
      </c>
      <c r="BA24" s="285" t="str">
        <f t="shared" si="7"/>
        <v/>
      </c>
      <c r="BB24" s="285" t="str">
        <f t="shared" si="7"/>
        <v/>
      </c>
      <c r="BC24" s="285" t="str">
        <f t="shared" si="7"/>
        <v/>
      </c>
      <c r="BD24" s="285" t="str">
        <f t="shared" si="7"/>
        <v/>
      </c>
      <c r="BE24" s="285" t="str">
        <f t="shared" si="7"/>
        <v/>
      </c>
      <c r="BF24" s="285" t="str">
        <f t="shared" si="7"/>
        <v/>
      </c>
      <c r="BG24" s="285" t="str">
        <f t="shared" si="7"/>
        <v/>
      </c>
      <c r="BH24" s="285" t="str">
        <f t="shared" si="7"/>
        <v/>
      </c>
      <c r="BI24" s="285" t="str">
        <f t="shared" si="7"/>
        <v/>
      </c>
      <c r="BJ24" s="285" t="str">
        <f t="shared" si="7"/>
        <v/>
      </c>
      <c r="BK24" s="285" t="str">
        <f t="shared" si="7"/>
        <v/>
      </c>
      <c r="BL24" s="285" t="str">
        <f t="shared" si="7"/>
        <v/>
      </c>
      <c r="BM24" s="285" t="str">
        <f t="shared" si="7"/>
        <v/>
      </c>
      <c r="BN24" s="285" t="str">
        <f t="shared" si="7"/>
        <v/>
      </c>
      <c r="BO24" s="285" t="str">
        <f t="shared" si="7"/>
        <v/>
      </c>
      <c r="BP24" s="285" t="str">
        <f t="shared" si="7"/>
        <v/>
      </c>
      <c r="BQ24" s="285" t="str">
        <f t="shared" si="7"/>
        <v/>
      </c>
      <c r="BR24" s="285" t="str">
        <f t="shared" si="7"/>
        <v/>
      </c>
      <c r="BS24" s="285" t="str">
        <f t="shared" si="7"/>
        <v/>
      </c>
      <c r="BT24" s="285" t="str">
        <f t="shared" si="7"/>
        <v/>
      </c>
      <c r="BU24" s="285" t="str">
        <f t="shared" si="6"/>
        <v/>
      </c>
      <c r="BV24" s="285" t="str">
        <f t="shared" si="5"/>
        <v/>
      </c>
      <c r="BW24" s="285" t="str">
        <f t="shared" si="5"/>
        <v/>
      </c>
      <c r="BX24" s="285" t="str">
        <f t="shared" si="5"/>
        <v/>
      </c>
      <c r="BY24" s="285" t="str">
        <f t="shared" si="5"/>
        <v/>
      </c>
      <c r="BZ24" s="285" t="str">
        <f t="shared" si="5"/>
        <v/>
      </c>
      <c r="CA24" s="285" t="str">
        <f t="shared" si="5"/>
        <v/>
      </c>
      <c r="CB24" s="285" t="str">
        <f t="shared" si="5"/>
        <v/>
      </c>
      <c r="CC24" s="285" t="str">
        <f t="shared" si="5"/>
        <v/>
      </c>
      <c r="CD24" s="285" t="str">
        <f t="shared" si="5"/>
        <v/>
      </c>
      <c r="CE24" s="285" t="str">
        <f t="shared" si="5"/>
        <v/>
      </c>
      <c r="CF24" s="285" t="str">
        <f t="shared" si="5"/>
        <v/>
      </c>
      <c r="CG24" s="285" t="str">
        <f t="shared" si="5"/>
        <v/>
      </c>
      <c r="CH24" s="285" t="str">
        <f t="shared" si="5"/>
        <v/>
      </c>
      <c r="CI24" s="285" t="str">
        <f t="shared" si="5"/>
        <v/>
      </c>
      <c r="CJ24" s="285" t="str">
        <f t="shared" si="5"/>
        <v/>
      </c>
      <c r="CK24" s="285" t="str">
        <f t="shared" si="5"/>
        <v/>
      </c>
      <c r="CL24" s="285" t="str">
        <f t="shared" si="5"/>
        <v/>
      </c>
      <c r="CM24" s="285" t="str">
        <f t="shared" si="5"/>
        <v/>
      </c>
      <c r="CN24" s="285" t="str">
        <f t="shared" si="5"/>
        <v/>
      </c>
      <c r="CO24" s="285" t="str">
        <f t="shared" si="5"/>
        <v/>
      </c>
      <c r="CP24" s="285" t="str">
        <f t="shared" si="5"/>
        <v/>
      </c>
      <c r="CQ24" s="285" t="str">
        <f t="shared" si="5"/>
        <v/>
      </c>
      <c r="CR24" s="285" t="str">
        <f t="shared" si="5"/>
        <v/>
      </c>
      <c r="CS24" s="285" t="str">
        <f t="shared" si="5"/>
        <v/>
      </c>
      <c r="CT24" s="285" t="str">
        <f t="shared" si="5"/>
        <v/>
      </c>
      <c r="CU24" s="285" t="str">
        <f t="shared" si="5"/>
        <v/>
      </c>
      <c r="CV24" s="285" t="str">
        <f t="shared" si="5"/>
        <v/>
      </c>
      <c r="CW24" s="285" t="str">
        <f t="shared" si="5"/>
        <v/>
      </c>
      <c r="CX24" s="285" t="str">
        <f t="shared" si="5"/>
        <v/>
      </c>
      <c r="CY24" s="285" t="str">
        <f t="shared" si="5"/>
        <v/>
      </c>
      <c r="CZ24" s="285" t="str">
        <f t="shared" si="5"/>
        <v/>
      </c>
      <c r="DA24" s="1"/>
    </row>
    <row r="25" spans="1:105" ht="5.15" hidden="1" customHeight="1" x14ac:dyDescent="0.35">
      <c r="A25" s="423"/>
      <c r="B25" s="424"/>
      <c r="C25" s="8"/>
      <c r="D25" s="7" t="s">
        <v>182</v>
      </c>
      <c r="E25" s="189" t="s">
        <v>182</v>
      </c>
      <c r="F25" s="158"/>
      <c r="G25" s="158"/>
      <c r="H25" s="27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281"/>
      <c r="DA25" s="1"/>
    </row>
    <row r="26" spans="1:105" ht="15" hidden="1" customHeight="1" x14ac:dyDescent="0.35">
      <c r="A26" s="425"/>
      <c r="B26" s="426"/>
      <c r="C26" s="8"/>
      <c r="D26" s="193"/>
      <c r="E26" s="189"/>
      <c r="F26" s="198"/>
      <c r="G26" s="198"/>
      <c r="H26" s="278"/>
      <c r="I26" s="285" t="str">
        <f>IF(OR(AND(I$9&gt;=$D26,I$9&lt;=$E26),I$9=$D26+1-DAY($D26)),I$51,"")</f>
        <v/>
      </c>
      <c r="J26" s="285" t="str">
        <f t="shared" si="7"/>
        <v/>
      </c>
      <c r="K26" s="285" t="str">
        <f t="shared" si="7"/>
        <v/>
      </c>
      <c r="L26" s="285" t="str">
        <f t="shared" si="7"/>
        <v/>
      </c>
      <c r="M26" s="285" t="str">
        <f t="shared" si="7"/>
        <v/>
      </c>
      <c r="N26" s="285" t="str">
        <f t="shared" si="7"/>
        <v/>
      </c>
      <c r="O26" s="285" t="str">
        <f t="shared" si="7"/>
        <v/>
      </c>
      <c r="P26" s="285" t="str">
        <f t="shared" si="7"/>
        <v/>
      </c>
      <c r="Q26" s="285" t="str">
        <f t="shared" si="7"/>
        <v/>
      </c>
      <c r="R26" s="285" t="str">
        <f t="shared" si="7"/>
        <v/>
      </c>
      <c r="S26" s="285" t="str">
        <f t="shared" si="7"/>
        <v/>
      </c>
      <c r="T26" s="285" t="str">
        <f t="shared" si="7"/>
        <v/>
      </c>
      <c r="U26" s="285" t="str">
        <f t="shared" si="7"/>
        <v/>
      </c>
      <c r="V26" s="285" t="str">
        <f t="shared" si="7"/>
        <v/>
      </c>
      <c r="W26" s="285" t="str">
        <f t="shared" si="7"/>
        <v/>
      </c>
      <c r="X26" s="285" t="str">
        <f t="shared" si="7"/>
        <v/>
      </c>
      <c r="Y26" s="285" t="str">
        <f t="shared" si="7"/>
        <v/>
      </c>
      <c r="Z26" s="285" t="str">
        <f t="shared" si="7"/>
        <v/>
      </c>
      <c r="AA26" s="285" t="str">
        <f t="shared" si="7"/>
        <v/>
      </c>
      <c r="AB26" s="285" t="str">
        <f t="shared" si="7"/>
        <v/>
      </c>
      <c r="AC26" s="285" t="str">
        <f t="shared" si="7"/>
        <v/>
      </c>
      <c r="AD26" s="285" t="str">
        <f t="shared" si="7"/>
        <v/>
      </c>
      <c r="AE26" s="285" t="str">
        <f t="shared" si="7"/>
        <v/>
      </c>
      <c r="AF26" s="285" t="str">
        <f t="shared" si="7"/>
        <v/>
      </c>
      <c r="AG26" s="285" t="str">
        <f t="shared" si="7"/>
        <v/>
      </c>
      <c r="AH26" s="285" t="str">
        <f t="shared" si="7"/>
        <v/>
      </c>
      <c r="AI26" s="285" t="str">
        <f t="shared" si="7"/>
        <v/>
      </c>
      <c r="AJ26" s="285" t="str">
        <f t="shared" si="7"/>
        <v/>
      </c>
      <c r="AK26" s="285" t="str">
        <f t="shared" si="7"/>
        <v/>
      </c>
      <c r="AL26" s="285" t="str">
        <f t="shared" si="7"/>
        <v/>
      </c>
      <c r="AM26" s="285" t="str">
        <f t="shared" si="7"/>
        <v/>
      </c>
      <c r="AN26" s="285" t="str">
        <f t="shared" si="7"/>
        <v/>
      </c>
      <c r="AO26" s="285" t="str">
        <f t="shared" si="7"/>
        <v/>
      </c>
      <c r="AP26" s="285" t="str">
        <f t="shared" si="7"/>
        <v/>
      </c>
      <c r="AQ26" s="285" t="str">
        <f t="shared" si="7"/>
        <v/>
      </c>
      <c r="AR26" s="285" t="str">
        <f t="shared" si="7"/>
        <v/>
      </c>
      <c r="AS26" s="285" t="str">
        <f t="shared" si="7"/>
        <v/>
      </c>
      <c r="AT26" s="285" t="str">
        <f t="shared" si="7"/>
        <v/>
      </c>
      <c r="AU26" s="285" t="str">
        <f t="shared" si="7"/>
        <v/>
      </c>
      <c r="AV26" s="285" t="str">
        <f t="shared" si="7"/>
        <v/>
      </c>
      <c r="AW26" s="285" t="str">
        <f t="shared" si="7"/>
        <v/>
      </c>
      <c r="AX26" s="285" t="str">
        <f t="shared" si="7"/>
        <v/>
      </c>
      <c r="AY26" s="285" t="str">
        <f t="shared" si="7"/>
        <v/>
      </c>
      <c r="AZ26" s="285" t="str">
        <f t="shared" si="7"/>
        <v/>
      </c>
      <c r="BA26" s="285" t="str">
        <f t="shared" si="7"/>
        <v/>
      </c>
      <c r="BB26" s="285" t="str">
        <f t="shared" si="7"/>
        <v/>
      </c>
      <c r="BC26" s="285" t="str">
        <f t="shared" si="7"/>
        <v/>
      </c>
      <c r="BD26" s="285" t="str">
        <f t="shared" si="7"/>
        <v/>
      </c>
      <c r="BE26" s="285" t="str">
        <f t="shared" si="7"/>
        <v/>
      </c>
      <c r="BF26" s="285" t="str">
        <f t="shared" si="7"/>
        <v/>
      </c>
      <c r="BG26" s="285" t="str">
        <f t="shared" si="7"/>
        <v/>
      </c>
      <c r="BH26" s="285" t="str">
        <f t="shared" si="7"/>
        <v/>
      </c>
      <c r="BI26" s="285" t="str">
        <f t="shared" si="7"/>
        <v/>
      </c>
      <c r="BJ26" s="285" t="str">
        <f t="shared" si="7"/>
        <v/>
      </c>
      <c r="BK26" s="285" t="str">
        <f t="shared" si="7"/>
        <v/>
      </c>
      <c r="BL26" s="285" t="str">
        <f t="shared" si="7"/>
        <v/>
      </c>
      <c r="BM26" s="285" t="str">
        <f t="shared" si="7"/>
        <v/>
      </c>
      <c r="BN26" s="285" t="str">
        <f t="shared" si="7"/>
        <v/>
      </c>
      <c r="BO26" s="285" t="str">
        <f t="shared" si="7"/>
        <v/>
      </c>
      <c r="BP26" s="285" t="str">
        <f t="shared" si="7"/>
        <v/>
      </c>
      <c r="BQ26" s="285" t="str">
        <f t="shared" si="7"/>
        <v/>
      </c>
      <c r="BR26" s="285" t="str">
        <f t="shared" si="7"/>
        <v/>
      </c>
      <c r="BS26" s="285" t="str">
        <f t="shared" si="7"/>
        <v/>
      </c>
      <c r="BT26" s="285" t="str">
        <f t="shared" si="7"/>
        <v/>
      </c>
      <c r="BU26" s="285" t="str">
        <f t="shared" si="6"/>
        <v/>
      </c>
      <c r="BV26" s="285" t="str">
        <f t="shared" si="5"/>
        <v/>
      </c>
      <c r="BW26" s="285" t="str">
        <f t="shared" si="5"/>
        <v/>
      </c>
      <c r="BX26" s="285" t="str">
        <f t="shared" si="5"/>
        <v/>
      </c>
      <c r="BY26" s="285" t="str">
        <f t="shared" si="5"/>
        <v/>
      </c>
      <c r="BZ26" s="285" t="str">
        <f t="shared" si="5"/>
        <v/>
      </c>
      <c r="CA26" s="285" t="str">
        <f t="shared" si="5"/>
        <v/>
      </c>
      <c r="CB26" s="285" t="str">
        <f t="shared" si="5"/>
        <v/>
      </c>
      <c r="CC26" s="285" t="str">
        <f t="shared" si="5"/>
        <v/>
      </c>
      <c r="CD26" s="285" t="str">
        <f t="shared" si="5"/>
        <v/>
      </c>
      <c r="CE26" s="285" t="str">
        <f t="shared" si="5"/>
        <v/>
      </c>
      <c r="CF26" s="285" t="str">
        <f t="shared" si="5"/>
        <v/>
      </c>
      <c r="CG26" s="285" t="str">
        <f t="shared" si="5"/>
        <v/>
      </c>
      <c r="CH26" s="285" t="str">
        <f t="shared" si="5"/>
        <v/>
      </c>
      <c r="CI26" s="285" t="str">
        <f t="shared" si="5"/>
        <v/>
      </c>
      <c r="CJ26" s="285" t="str">
        <f t="shared" si="5"/>
        <v/>
      </c>
      <c r="CK26" s="285" t="str">
        <f t="shared" si="5"/>
        <v/>
      </c>
      <c r="CL26" s="285" t="str">
        <f t="shared" si="5"/>
        <v/>
      </c>
      <c r="CM26" s="285" t="str">
        <f t="shared" si="5"/>
        <v/>
      </c>
      <c r="CN26" s="285" t="str">
        <f t="shared" si="5"/>
        <v/>
      </c>
      <c r="CO26" s="285" t="str">
        <f t="shared" si="5"/>
        <v/>
      </c>
      <c r="CP26" s="285" t="str">
        <f t="shared" si="5"/>
        <v/>
      </c>
      <c r="CQ26" s="285" t="str">
        <f t="shared" si="5"/>
        <v/>
      </c>
      <c r="CR26" s="285" t="str">
        <f t="shared" si="5"/>
        <v/>
      </c>
      <c r="CS26" s="285" t="str">
        <f t="shared" si="5"/>
        <v/>
      </c>
      <c r="CT26" s="285" t="str">
        <f t="shared" si="5"/>
        <v/>
      </c>
      <c r="CU26" s="285" t="str">
        <f t="shared" si="5"/>
        <v/>
      </c>
      <c r="CV26" s="285" t="str">
        <f t="shared" si="5"/>
        <v/>
      </c>
      <c r="CW26" s="285" t="str">
        <f t="shared" si="5"/>
        <v/>
      </c>
      <c r="CX26" s="285" t="str">
        <f t="shared" si="5"/>
        <v/>
      </c>
      <c r="CY26" s="285" t="str">
        <f t="shared" si="5"/>
        <v/>
      </c>
      <c r="CZ26" s="285" t="str">
        <f t="shared" si="5"/>
        <v/>
      </c>
      <c r="DA26" s="1"/>
    </row>
    <row r="27" spans="1:105" ht="5.15" hidden="1" customHeight="1" x14ac:dyDescent="0.35">
      <c r="A27" s="87"/>
      <c r="B27" s="88"/>
      <c r="C27" s="8"/>
      <c r="D27" s="7"/>
      <c r="E27" s="189"/>
      <c r="F27" s="158"/>
      <c r="G27" s="158"/>
      <c r="H27" s="27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281"/>
      <c r="DA27" s="1"/>
    </row>
    <row r="28" spans="1:105" ht="15" hidden="1" customHeight="1" x14ac:dyDescent="0.35">
      <c r="A28" s="425"/>
      <c r="B28" s="426"/>
      <c r="C28" s="8"/>
      <c r="D28" s="7"/>
      <c r="E28" s="189"/>
      <c r="F28" s="158"/>
      <c r="G28" s="158"/>
      <c r="H28" s="278"/>
      <c r="I28" s="285" t="str">
        <f>IF(OR(AND(I$9&gt;=$D28,I$9&lt;=$E28),I$9=$D28+1-DAY($D28)),I$51,"")</f>
        <v/>
      </c>
      <c r="J28" s="285" t="str">
        <f t="shared" si="7"/>
        <v/>
      </c>
      <c r="K28" s="285" t="str">
        <f t="shared" si="7"/>
        <v/>
      </c>
      <c r="L28" s="285" t="str">
        <f t="shared" si="7"/>
        <v/>
      </c>
      <c r="M28" s="285" t="str">
        <f t="shared" ref="M28:BT28" si="8">IF(OR(AND(M$9&gt;=$D28,M$9&lt;=$E28),M$9=$D28+1-DAY($D28)),M$51,"")</f>
        <v/>
      </c>
      <c r="N28" s="285" t="str">
        <f t="shared" si="8"/>
        <v/>
      </c>
      <c r="O28" s="285" t="str">
        <f t="shared" si="8"/>
        <v/>
      </c>
      <c r="P28" s="285" t="str">
        <f t="shared" si="8"/>
        <v/>
      </c>
      <c r="Q28" s="285" t="str">
        <f t="shared" si="8"/>
        <v/>
      </c>
      <c r="R28" s="285" t="str">
        <f t="shared" si="8"/>
        <v/>
      </c>
      <c r="S28" s="285" t="str">
        <f t="shared" si="8"/>
        <v/>
      </c>
      <c r="T28" s="285" t="str">
        <f t="shared" si="8"/>
        <v/>
      </c>
      <c r="U28" s="285" t="str">
        <f t="shared" si="8"/>
        <v/>
      </c>
      <c r="V28" s="285" t="str">
        <f t="shared" si="8"/>
        <v/>
      </c>
      <c r="W28" s="285" t="str">
        <f t="shared" si="8"/>
        <v/>
      </c>
      <c r="X28" s="285" t="str">
        <f t="shared" si="8"/>
        <v/>
      </c>
      <c r="Y28" s="285" t="str">
        <f t="shared" si="8"/>
        <v/>
      </c>
      <c r="Z28" s="285" t="str">
        <f t="shared" si="8"/>
        <v/>
      </c>
      <c r="AA28" s="285" t="str">
        <f t="shared" si="8"/>
        <v/>
      </c>
      <c r="AB28" s="285" t="str">
        <f t="shared" si="8"/>
        <v/>
      </c>
      <c r="AC28" s="285" t="str">
        <f t="shared" si="8"/>
        <v/>
      </c>
      <c r="AD28" s="285" t="str">
        <f t="shared" si="8"/>
        <v/>
      </c>
      <c r="AE28" s="285" t="str">
        <f t="shared" si="8"/>
        <v/>
      </c>
      <c r="AF28" s="285" t="str">
        <f t="shared" si="8"/>
        <v/>
      </c>
      <c r="AG28" s="285" t="str">
        <f t="shared" si="8"/>
        <v/>
      </c>
      <c r="AH28" s="285" t="str">
        <f t="shared" si="8"/>
        <v/>
      </c>
      <c r="AI28" s="285" t="str">
        <f t="shared" si="8"/>
        <v/>
      </c>
      <c r="AJ28" s="285" t="str">
        <f t="shared" si="8"/>
        <v/>
      </c>
      <c r="AK28" s="285" t="str">
        <f t="shared" si="8"/>
        <v/>
      </c>
      <c r="AL28" s="285" t="str">
        <f t="shared" si="8"/>
        <v/>
      </c>
      <c r="AM28" s="285" t="str">
        <f t="shared" si="8"/>
        <v/>
      </c>
      <c r="AN28" s="285" t="str">
        <f t="shared" si="8"/>
        <v/>
      </c>
      <c r="AO28" s="285" t="str">
        <f t="shared" si="8"/>
        <v/>
      </c>
      <c r="AP28" s="285" t="str">
        <f t="shared" si="8"/>
        <v/>
      </c>
      <c r="AQ28" s="285" t="str">
        <f t="shared" si="8"/>
        <v/>
      </c>
      <c r="AR28" s="285" t="str">
        <f t="shared" si="8"/>
        <v/>
      </c>
      <c r="AS28" s="285" t="str">
        <f t="shared" si="8"/>
        <v/>
      </c>
      <c r="AT28" s="285" t="str">
        <f t="shared" si="8"/>
        <v/>
      </c>
      <c r="AU28" s="285" t="str">
        <f t="shared" si="8"/>
        <v/>
      </c>
      <c r="AV28" s="285" t="str">
        <f t="shared" si="8"/>
        <v/>
      </c>
      <c r="AW28" s="285" t="str">
        <f t="shared" si="8"/>
        <v/>
      </c>
      <c r="AX28" s="285" t="str">
        <f t="shared" si="8"/>
        <v/>
      </c>
      <c r="AY28" s="285" t="str">
        <f t="shared" si="8"/>
        <v/>
      </c>
      <c r="AZ28" s="285" t="str">
        <f t="shared" si="8"/>
        <v/>
      </c>
      <c r="BA28" s="285" t="str">
        <f t="shared" si="8"/>
        <v/>
      </c>
      <c r="BB28" s="285" t="str">
        <f t="shared" si="8"/>
        <v/>
      </c>
      <c r="BC28" s="285" t="str">
        <f t="shared" si="8"/>
        <v/>
      </c>
      <c r="BD28" s="285" t="str">
        <f t="shared" si="8"/>
        <v/>
      </c>
      <c r="BE28" s="285" t="str">
        <f t="shared" si="8"/>
        <v/>
      </c>
      <c r="BF28" s="285" t="str">
        <f t="shared" si="8"/>
        <v/>
      </c>
      <c r="BG28" s="285" t="str">
        <f t="shared" si="8"/>
        <v/>
      </c>
      <c r="BH28" s="285" t="str">
        <f t="shared" si="8"/>
        <v/>
      </c>
      <c r="BI28" s="285" t="str">
        <f t="shared" si="8"/>
        <v/>
      </c>
      <c r="BJ28" s="285" t="str">
        <f t="shared" si="8"/>
        <v/>
      </c>
      <c r="BK28" s="285" t="str">
        <f t="shared" si="8"/>
        <v/>
      </c>
      <c r="BL28" s="285" t="str">
        <f t="shared" si="8"/>
        <v/>
      </c>
      <c r="BM28" s="285" t="str">
        <f t="shared" si="8"/>
        <v/>
      </c>
      <c r="BN28" s="285" t="str">
        <f t="shared" si="8"/>
        <v/>
      </c>
      <c r="BO28" s="285" t="str">
        <f t="shared" si="8"/>
        <v/>
      </c>
      <c r="BP28" s="285" t="str">
        <f t="shared" si="8"/>
        <v/>
      </c>
      <c r="BQ28" s="285" t="str">
        <f t="shared" si="8"/>
        <v/>
      </c>
      <c r="BR28" s="285" t="str">
        <f t="shared" si="8"/>
        <v/>
      </c>
      <c r="BS28" s="285" t="str">
        <f t="shared" si="8"/>
        <v/>
      </c>
      <c r="BT28" s="285" t="str">
        <f t="shared" si="8"/>
        <v/>
      </c>
      <c r="BU28" s="285" t="str">
        <f t="shared" si="6"/>
        <v/>
      </c>
      <c r="BV28" s="285" t="str">
        <f t="shared" si="5"/>
        <v/>
      </c>
      <c r="BW28" s="285" t="str">
        <f t="shared" si="5"/>
        <v/>
      </c>
      <c r="BX28" s="285" t="str">
        <f t="shared" si="5"/>
        <v/>
      </c>
      <c r="BY28" s="285" t="str">
        <f t="shared" si="5"/>
        <v/>
      </c>
      <c r="BZ28" s="285" t="str">
        <f t="shared" si="5"/>
        <v/>
      </c>
      <c r="CA28" s="285" t="str">
        <f t="shared" si="5"/>
        <v/>
      </c>
      <c r="CB28" s="285" t="str">
        <f t="shared" si="5"/>
        <v/>
      </c>
      <c r="CC28" s="285" t="str">
        <f t="shared" ref="CC28:CZ28" si="9">IF(OR(AND(CC$9&gt;=$D28,CC$9&lt;=$E28),CC$9=$D28+1-DAY($D28)),CC$51,"")</f>
        <v/>
      </c>
      <c r="CD28" s="285" t="str">
        <f t="shared" si="9"/>
        <v/>
      </c>
      <c r="CE28" s="285" t="str">
        <f t="shared" si="9"/>
        <v/>
      </c>
      <c r="CF28" s="285" t="str">
        <f t="shared" si="9"/>
        <v/>
      </c>
      <c r="CG28" s="285" t="str">
        <f t="shared" si="9"/>
        <v/>
      </c>
      <c r="CH28" s="285" t="str">
        <f t="shared" si="9"/>
        <v/>
      </c>
      <c r="CI28" s="285" t="str">
        <f t="shared" si="9"/>
        <v/>
      </c>
      <c r="CJ28" s="285" t="str">
        <f t="shared" si="9"/>
        <v/>
      </c>
      <c r="CK28" s="285" t="str">
        <f t="shared" si="9"/>
        <v/>
      </c>
      <c r="CL28" s="285" t="str">
        <f t="shared" si="9"/>
        <v/>
      </c>
      <c r="CM28" s="285" t="str">
        <f t="shared" si="9"/>
        <v/>
      </c>
      <c r="CN28" s="285" t="str">
        <f t="shared" si="9"/>
        <v/>
      </c>
      <c r="CO28" s="285" t="str">
        <f t="shared" si="9"/>
        <v/>
      </c>
      <c r="CP28" s="285" t="str">
        <f t="shared" si="9"/>
        <v/>
      </c>
      <c r="CQ28" s="285" t="str">
        <f t="shared" si="9"/>
        <v/>
      </c>
      <c r="CR28" s="285" t="str">
        <f t="shared" si="9"/>
        <v/>
      </c>
      <c r="CS28" s="285" t="str">
        <f t="shared" si="9"/>
        <v/>
      </c>
      <c r="CT28" s="285" t="str">
        <f t="shared" si="9"/>
        <v/>
      </c>
      <c r="CU28" s="285" t="str">
        <f t="shared" si="9"/>
        <v/>
      </c>
      <c r="CV28" s="285" t="str">
        <f t="shared" si="9"/>
        <v/>
      </c>
      <c r="CW28" s="285" t="str">
        <f t="shared" si="9"/>
        <v/>
      </c>
      <c r="CX28" s="285" t="str">
        <f t="shared" si="9"/>
        <v/>
      </c>
      <c r="CY28" s="285" t="str">
        <f t="shared" si="9"/>
        <v/>
      </c>
      <c r="CZ28" s="285" t="str">
        <f t="shared" si="9"/>
        <v/>
      </c>
      <c r="DA28" s="1"/>
    </row>
    <row r="29" spans="1:105" ht="15" hidden="1" thickBot="1" x14ac:dyDescent="0.4">
      <c r="A29" s="411" t="s">
        <v>32</v>
      </c>
      <c r="B29" s="412"/>
      <c r="C29" s="194">
        <f>INT(SUM(C12:C28))</f>
        <v>905</v>
      </c>
      <c r="D29" s="9"/>
      <c r="E29" s="10"/>
      <c r="F29" s="273">
        <f>D51/C29</f>
        <v>8.6204978740738861E-2</v>
      </c>
      <c r="G29" s="273">
        <f>D51/(D59-D51)</f>
        <v>9.4337325915765588E-2</v>
      </c>
      <c r="H29" s="282"/>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283"/>
      <c r="DA29" s="1"/>
    </row>
    <row r="30" spans="1:105" ht="6.75" hidden="1" customHeight="1" outlineLevel="1" thickBot="1" x14ac:dyDescent="0.4">
      <c r="A30" s="1"/>
      <c r="DA30" s="1"/>
    </row>
    <row r="31" spans="1:105" ht="26" hidden="1" outlineLevel="1" thickBot="1" x14ac:dyDescent="0.4">
      <c r="A31" s="402" t="s">
        <v>125</v>
      </c>
      <c r="B31" s="413"/>
      <c r="C31" s="413"/>
      <c r="D31" s="413"/>
      <c r="E31" s="414"/>
      <c r="F31" s="104"/>
      <c r="G31" s="96"/>
      <c r="H31" s="315">
        <f>H$9</f>
        <v>43343</v>
      </c>
      <c r="I31" s="316">
        <f t="shared" ref="I31:AN31" si="10">I$9</f>
        <v>43358</v>
      </c>
      <c r="J31" s="316">
        <f t="shared" si="10"/>
        <v>43388</v>
      </c>
      <c r="K31" s="316">
        <f t="shared" si="10"/>
        <v>43419</v>
      </c>
      <c r="L31" s="316">
        <f t="shared" si="10"/>
        <v>43449</v>
      </c>
      <c r="M31" s="316">
        <f t="shared" si="10"/>
        <v>43480</v>
      </c>
      <c r="N31" s="316">
        <f t="shared" si="10"/>
        <v>43511</v>
      </c>
      <c r="O31" s="316">
        <f t="shared" si="10"/>
        <v>43539</v>
      </c>
      <c r="P31" s="316">
        <f t="shared" si="10"/>
        <v>43570</v>
      </c>
      <c r="Q31" s="316">
        <f t="shared" si="10"/>
        <v>43600</v>
      </c>
      <c r="R31" s="316">
        <f t="shared" si="10"/>
        <v>43631</v>
      </c>
      <c r="S31" s="316">
        <f t="shared" si="10"/>
        <v>43661</v>
      </c>
      <c r="T31" s="316">
        <f t="shared" si="10"/>
        <v>43692</v>
      </c>
      <c r="U31" s="316">
        <f t="shared" si="10"/>
        <v>43723</v>
      </c>
      <c r="V31" s="316">
        <f t="shared" si="10"/>
        <v>43753</v>
      </c>
      <c r="W31" s="316">
        <f t="shared" si="10"/>
        <v>43784</v>
      </c>
      <c r="X31" s="316">
        <f t="shared" si="10"/>
        <v>43814</v>
      </c>
      <c r="Y31" s="316">
        <f t="shared" si="10"/>
        <v>43845</v>
      </c>
      <c r="Z31" s="316">
        <f t="shared" si="10"/>
        <v>43876</v>
      </c>
      <c r="AA31" s="316">
        <f t="shared" si="10"/>
        <v>43905</v>
      </c>
      <c r="AB31" s="316">
        <f t="shared" si="10"/>
        <v>43936</v>
      </c>
      <c r="AC31" s="316">
        <f t="shared" si="10"/>
        <v>43966</v>
      </c>
      <c r="AD31" s="316">
        <f t="shared" si="10"/>
        <v>43997</v>
      </c>
      <c r="AE31" s="316">
        <f t="shared" si="10"/>
        <v>44027</v>
      </c>
      <c r="AF31" s="316">
        <f t="shared" si="10"/>
        <v>44058</v>
      </c>
      <c r="AG31" s="316">
        <f t="shared" si="10"/>
        <v>44089</v>
      </c>
      <c r="AH31" s="316">
        <f t="shared" si="10"/>
        <v>44119</v>
      </c>
      <c r="AI31" s="316">
        <f t="shared" si="10"/>
        <v>44150</v>
      </c>
      <c r="AJ31" s="316">
        <f t="shared" si="10"/>
        <v>44180</v>
      </c>
      <c r="AK31" s="316">
        <f t="shared" si="10"/>
        <v>44211</v>
      </c>
      <c r="AL31" s="316">
        <f t="shared" si="10"/>
        <v>44242</v>
      </c>
      <c r="AM31" s="316">
        <f t="shared" si="10"/>
        <v>44270</v>
      </c>
      <c r="AN31" s="316">
        <f t="shared" si="10"/>
        <v>44301</v>
      </c>
      <c r="AO31" s="316">
        <f t="shared" ref="AO31:CZ31" si="11">AO$9</f>
        <v>44331</v>
      </c>
      <c r="AP31" s="316">
        <f t="shared" si="11"/>
        <v>44362</v>
      </c>
      <c r="AQ31" s="316">
        <f t="shared" si="11"/>
        <v>44392</v>
      </c>
      <c r="AR31" s="316">
        <f t="shared" si="11"/>
        <v>44423</v>
      </c>
      <c r="AS31" s="316">
        <f t="shared" si="11"/>
        <v>44454</v>
      </c>
      <c r="AT31" s="316">
        <f t="shared" si="11"/>
        <v>44484</v>
      </c>
      <c r="AU31" s="316">
        <f t="shared" si="11"/>
        <v>44515</v>
      </c>
      <c r="AV31" s="316">
        <f t="shared" si="11"/>
        <v>44545</v>
      </c>
      <c r="AW31" s="316">
        <f t="shared" si="11"/>
        <v>44576</v>
      </c>
      <c r="AX31" s="316">
        <f t="shared" si="11"/>
        <v>44607</v>
      </c>
      <c r="AY31" s="316">
        <f t="shared" si="11"/>
        <v>44635</v>
      </c>
      <c r="AZ31" s="316">
        <f t="shared" si="11"/>
        <v>44666</v>
      </c>
      <c r="BA31" s="319">
        <f t="shared" si="11"/>
        <v>44696</v>
      </c>
      <c r="BB31" s="319">
        <f t="shared" si="11"/>
        <v>44727</v>
      </c>
      <c r="BC31" s="319">
        <f t="shared" si="11"/>
        <v>44757</v>
      </c>
      <c r="BD31" s="319">
        <f t="shared" si="11"/>
        <v>44788</v>
      </c>
      <c r="BE31" s="319">
        <f t="shared" si="11"/>
        <v>44819</v>
      </c>
      <c r="BF31" s="319">
        <f t="shared" si="11"/>
        <v>44849</v>
      </c>
      <c r="BG31" s="319">
        <f t="shared" si="11"/>
        <v>44880</v>
      </c>
      <c r="BH31" s="319">
        <f t="shared" si="11"/>
        <v>44910</v>
      </c>
      <c r="BI31" s="319">
        <f t="shared" si="11"/>
        <v>44941</v>
      </c>
      <c r="BJ31" s="319">
        <f t="shared" si="11"/>
        <v>44972</v>
      </c>
      <c r="BK31" s="319">
        <f t="shared" si="11"/>
        <v>45000</v>
      </c>
      <c r="BL31" s="319">
        <f t="shared" si="11"/>
        <v>45031</v>
      </c>
      <c r="BM31" s="319">
        <f t="shared" si="11"/>
        <v>45061</v>
      </c>
      <c r="BN31" s="319">
        <f t="shared" si="11"/>
        <v>45092</v>
      </c>
      <c r="BO31" s="319">
        <f t="shared" si="11"/>
        <v>45122</v>
      </c>
      <c r="BP31" s="319">
        <f t="shared" si="11"/>
        <v>45153</v>
      </c>
      <c r="BQ31" s="319">
        <f t="shared" si="11"/>
        <v>45184</v>
      </c>
      <c r="BR31" s="319">
        <f t="shared" si="11"/>
        <v>45214</v>
      </c>
      <c r="BS31" s="319">
        <f t="shared" si="11"/>
        <v>45245</v>
      </c>
      <c r="BT31" s="319">
        <f t="shared" si="11"/>
        <v>45275</v>
      </c>
      <c r="BU31" s="319">
        <f t="shared" si="11"/>
        <v>45306</v>
      </c>
      <c r="BV31" s="319">
        <f t="shared" si="11"/>
        <v>45337</v>
      </c>
      <c r="BW31" s="319">
        <f t="shared" si="11"/>
        <v>45366</v>
      </c>
      <c r="BX31" s="319">
        <f t="shared" si="11"/>
        <v>45397</v>
      </c>
      <c r="BY31" s="319">
        <f t="shared" si="11"/>
        <v>45427</v>
      </c>
      <c r="BZ31" s="319">
        <f t="shared" si="11"/>
        <v>45458</v>
      </c>
      <c r="CA31" s="319">
        <f t="shared" si="11"/>
        <v>45488</v>
      </c>
      <c r="CB31" s="319">
        <f t="shared" si="11"/>
        <v>45519</v>
      </c>
      <c r="CC31" s="319">
        <f t="shared" si="11"/>
        <v>45550</v>
      </c>
      <c r="CD31" s="319">
        <f t="shared" si="11"/>
        <v>45580</v>
      </c>
      <c r="CE31" s="319">
        <f t="shared" si="11"/>
        <v>45611</v>
      </c>
      <c r="CF31" s="319">
        <f t="shared" si="11"/>
        <v>45641</v>
      </c>
      <c r="CG31" s="319">
        <f t="shared" si="11"/>
        <v>45672</v>
      </c>
      <c r="CH31" s="319">
        <f t="shared" si="11"/>
        <v>45703</v>
      </c>
      <c r="CI31" s="319">
        <f t="shared" si="11"/>
        <v>45731</v>
      </c>
      <c r="CJ31" s="319">
        <f t="shared" si="11"/>
        <v>45762</v>
      </c>
      <c r="CK31" s="319">
        <f t="shared" si="11"/>
        <v>45792</v>
      </c>
      <c r="CL31" s="319">
        <f t="shared" si="11"/>
        <v>45823</v>
      </c>
      <c r="CM31" s="319">
        <f t="shared" si="11"/>
        <v>45853</v>
      </c>
      <c r="CN31" s="319">
        <f t="shared" si="11"/>
        <v>45884</v>
      </c>
      <c r="CO31" s="319">
        <f t="shared" si="11"/>
        <v>45915</v>
      </c>
      <c r="CP31" s="319">
        <f t="shared" si="11"/>
        <v>45945</v>
      </c>
      <c r="CQ31" s="319">
        <f t="shared" si="11"/>
        <v>45976</v>
      </c>
      <c r="CR31" s="319">
        <f t="shared" si="11"/>
        <v>46006</v>
      </c>
      <c r="CS31" s="319">
        <f t="shared" si="11"/>
        <v>46037</v>
      </c>
      <c r="CT31" s="319">
        <f t="shared" si="11"/>
        <v>46068</v>
      </c>
      <c r="CU31" s="319">
        <f t="shared" si="11"/>
        <v>46096</v>
      </c>
      <c r="CV31" s="319">
        <f t="shared" si="11"/>
        <v>46127</v>
      </c>
      <c r="CW31" s="319">
        <f t="shared" si="11"/>
        <v>46157</v>
      </c>
      <c r="CX31" s="319">
        <f t="shared" si="11"/>
        <v>46188</v>
      </c>
      <c r="CY31" s="319">
        <f t="shared" si="11"/>
        <v>46218</v>
      </c>
      <c r="CZ31" s="319">
        <f t="shared" si="11"/>
        <v>46249</v>
      </c>
      <c r="DA31" s="1"/>
    </row>
    <row r="32" spans="1:105" ht="16.5" outlineLevel="1" x14ac:dyDescent="0.35">
      <c r="A32" s="415" t="s">
        <v>280</v>
      </c>
      <c r="B32" s="416"/>
      <c r="C32" s="417"/>
      <c r="D32" s="417"/>
      <c r="E32" s="418"/>
      <c r="F32" s="177"/>
      <c r="G32" s="275"/>
      <c r="H32" s="313" t="str">
        <f>HLOOKUP(MONTH(H$31),'Weather Calculation'!$H$19:$S$23,2,TRUE)</f>
        <v>Med</v>
      </c>
      <c r="I32" s="314" t="str">
        <f>HLOOKUP(MONTH(I$31),'Weather Calculation'!$H$19:$S$23,2,TRUE)</f>
        <v>Med</v>
      </c>
      <c r="J32" s="314" t="str">
        <f>HLOOKUP(MONTH(J$31),'Weather Calculation'!$H$19:$S$23,2,TRUE)</f>
        <v>Med</v>
      </c>
      <c r="K32" s="314" t="str">
        <f>HLOOKUP(MONTH(K$31),'Weather Calculation'!$H$19:$S$23,2,TRUE)</f>
        <v>Med</v>
      </c>
      <c r="L32" s="314" t="str">
        <f>HLOOKUP(MONTH(L$31),'Weather Calculation'!$H$19:$S$23,2,TRUE)</f>
        <v>Med</v>
      </c>
      <c r="M32" s="314" t="str">
        <f>HLOOKUP(MONTH(M$31),'Weather Calculation'!$H$19:$S$23,2,TRUE)</f>
        <v>Low</v>
      </c>
      <c r="N32" s="314" t="str">
        <f>HLOOKUP(MONTH(N$31),'Weather Calculation'!$H$19:$S$23,2,TRUE)</f>
        <v>Low</v>
      </c>
      <c r="O32" s="314" t="str">
        <f>HLOOKUP(MONTH(O$31),'Weather Calculation'!$H$19:$S$23,2,TRUE)</f>
        <v>Low</v>
      </c>
      <c r="P32" s="314" t="str">
        <f>HLOOKUP(MONTH(P$31),'Weather Calculation'!$H$19:$S$23,2,TRUE)</f>
        <v>Med</v>
      </c>
      <c r="Q32" s="314" t="str">
        <f>HLOOKUP(MONTH(Q$31),'Weather Calculation'!$H$19:$S$23,2,TRUE)</f>
        <v>Med</v>
      </c>
      <c r="R32" s="314" t="str">
        <f>HLOOKUP(MONTH(R$31),'Weather Calculation'!$H$19:$S$23,2,TRUE)</f>
        <v>Med</v>
      </c>
      <c r="S32" s="314" t="str">
        <f>HLOOKUP(MONTH(S$31),'Weather Calculation'!$H$19:$S$23,2,TRUE)</f>
        <v>Med</v>
      </c>
      <c r="T32" s="314" t="str">
        <f>H32</f>
        <v>Med</v>
      </c>
      <c r="U32" s="314" t="str">
        <f t="shared" ref="U32:AM35" si="12">I32</f>
        <v>Med</v>
      </c>
      <c r="V32" s="314" t="str">
        <f t="shared" si="12"/>
        <v>Med</v>
      </c>
      <c r="W32" s="314" t="str">
        <f t="shared" si="12"/>
        <v>Med</v>
      </c>
      <c r="X32" s="314" t="str">
        <f t="shared" si="12"/>
        <v>Med</v>
      </c>
      <c r="Y32" s="314" t="str">
        <f t="shared" si="12"/>
        <v>Low</v>
      </c>
      <c r="Z32" s="314" t="str">
        <f t="shared" si="12"/>
        <v>Low</v>
      </c>
      <c r="AA32" s="314" t="str">
        <f t="shared" si="12"/>
        <v>Low</v>
      </c>
      <c r="AB32" s="314" t="str">
        <f t="shared" si="12"/>
        <v>Med</v>
      </c>
      <c r="AC32" s="314" t="str">
        <f t="shared" si="12"/>
        <v>Med</v>
      </c>
      <c r="AD32" s="314" t="str">
        <f t="shared" si="12"/>
        <v>Med</v>
      </c>
      <c r="AE32" s="314" t="str">
        <f t="shared" si="12"/>
        <v>Med</v>
      </c>
      <c r="AF32" s="314" t="str">
        <f t="shared" si="12"/>
        <v>Med</v>
      </c>
      <c r="AG32" s="314" t="str">
        <f t="shared" si="12"/>
        <v>Med</v>
      </c>
      <c r="AH32" s="314" t="str">
        <f t="shared" si="12"/>
        <v>Med</v>
      </c>
      <c r="AI32" s="314" t="str">
        <f t="shared" si="12"/>
        <v>Med</v>
      </c>
      <c r="AJ32" s="314" t="str">
        <f t="shared" si="12"/>
        <v>Med</v>
      </c>
      <c r="AK32" s="314" t="str">
        <f t="shared" si="12"/>
        <v>Low</v>
      </c>
      <c r="AL32" s="314" t="str">
        <f t="shared" si="12"/>
        <v>Low</v>
      </c>
      <c r="AM32" s="314" t="str">
        <f t="shared" si="12"/>
        <v>Low</v>
      </c>
      <c r="AN32" s="314" t="str">
        <f t="shared" ref="AN32:BC35" si="13">AB32</f>
        <v>Med</v>
      </c>
      <c r="AO32" s="314" t="str">
        <f t="shared" si="13"/>
        <v>Med</v>
      </c>
      <c r="AP32" s="314" t="str">
        <f t="shared" si="13"/>
        <v>Med</v>
      </c>
      <c r="AQ32" s="314" t="str">
        <f t="shared" si="13"/>
        <v>Med</v>
      </c>
      <c r="AR32" s="314" t="str">
        <f t="shared" si="13"/>
        <v>Med</v>
      </c>
      <c r="AS32" s="314" t="str">
        <f t="shared" si="13"/>
        <v>Med</v>
      </c>
      <c r="AT32" s="314" t="str">
        <f t="shared" si="13"/>
        <v>Med</v>
      </c>
      <c r="AU32" s="314" t="str">
        <f t="shared" si="13"/>
        <v>Med</v>
      </c>
      <c r="AV32" s="314" t="str">
        <f t="shared" si="13"/>
        <v>Med</v>
      </c>
      <c r="AW32" s="314" t="str">
        <f t="shared" si="13"/>
        <v>Low</v>
      </c>
      <c r="AX32" s="314" t="str">
        <f t="shared" si="13"/>
        <v>Low</v>
      </c>
      <c r="AY32" s="314" t="str">
        <f t="shared" si="13"/>
        <v>Low</v>
      </c>
      <c r="AZ32" s="314" t="str">
        <f t="shared" si="13"/>
        <v>Med</v>
      </c>
      <c r="BA32" s="314" t="str">
        <f t="shared" si="13"/>
        <v>Med</v>
      </c>
      <c r="BB32" s="314" t="str">
        <f t="shared" si="13"/>
        <v>Med</v>
      </c>
      <c r="BC32" s="314" t="str">
        <f t="shared" si="13"/>
        <v>Med</v>
      </c>
      <c r="BD32" s="314" t="str">
        <f t="shared" ref="BD32:BS35" si="14">AR32</f>
        <v>Med</v>
      </c>
      <c r="BE32" s="314" t="str">
        <f t="shared" si="14"/>
        <v>Med</v>
      </c>
      <c r="BF32" s="314" t="str">
        <f t="shared" si="14"/>
        <v>Med</v>
      </c>
      <c r="BG32" s="314" t="str">
        <f t="shared" si="14"/>
        <v>Med</v>
      </c>
      <c r="BH32" s="314" t="str">
        <f t="shared" si="14"/>
        <v>Med</v>
      </c>
      <c r="BI32" s="314" t="str">
        <f t="shared" si="14"/>
        <v>Low</v>
      </c>
      <c r="BJ32" s="314" t="str">
        <f t="shared" si="14"/>
        <v>Low</v>
      </c>
      <c r="BK32" s="314" t="str">
        <f t="shared" si="14"/>
        <v>Low</v>
      </c>
      <c r="BL32" s="314" t="str">
        <f t="shared" si="14"/>
        <v>Med</v>
      </c>
      <c r="BM32" s="314" t="str">
        <f t="shared" si="14"/>
        <v>Med</v>
      </c>
      <c r="BN32" s="314" t="str">
        <f t="shared" si="14"/>
        <v>Med</v>
      </c>
      <c r="BO32" s="314" t="str">
        <f t="shared" si="14"/>
        <v>Med</v>
      </c>
      <c r="BP32" s="314" t="str">
        <f t="shared" si="14"/>
        <v>Med</v>
      </c>
      <c r="BQ32" s="314" t="str">
        <f t="shared" si="14"/>
        <v>Med</v>
      </c>
      <c r="BR32" s="314" t="str">
        <f t="shared" si="14"/>
        <v>Med</v>
      </c>
      <c r="BS32" s="314" t="str">
        <f t="shared" si="14"/>
        <v>Med</v>
      </c>
      <c r="BT32" s="314" t="str">
        <f t="shared" ref="BT32:CI35" si="15">BH32</f>
        <v>Med</v>
      </c>
      <c r="BU32" s="314" t="str">
        <f t="shared" si="15"/>
        <v>Low</v>
      </c>
      <c r="BV32" s="314" t="str">
        <f t="shared" si="15"/>
        <v>Low</v>
      </c>
      <c r="BW32" s="314" t="str">
        <f t="shared" si="15"/>
        <v>Low</v>
      </c>
      <c r="BX32" s="314" t="str">
        <f t="shared" si="15"/>
        <v>Med</v>
      </c>
      <c r="BY32" s="314" t="str">
        <f t="shared" si="15"/>
        <v>Med</v>
      </c>
      <c r="BZ32" s="314" t="str">
        <f t="shared" si="15"/>
        <v>Med</v>
      </c>
      <c r="CA32" s="314" t="str">
        <f t="shared" si="15"/>
        <v>Med</v>
      </c>
      <c r="CB32" s="314" t="str">
        <f t="shared" si="15"/>
        <v>Med</v>
      </c>
      <c r="CC32" s="314" t="str">
        <f t="shared" si="15"/>
        <v>Med</v>
      </c>
      <c r="CD32" s="314" t="str">
        <f t="shared" si="15"/>
        <v>Med</v>
      </c>
      <c r="CE32" s="314" t="str">
        <f t="shared" si="15"/>
        <v>Med</v>
      </c>
      <c r="CF32" s="314" t="str">
        <f t="shared" si="15"/>
        <v>Med</v>
      </c>
      <c r="CG32" s="314" t="str">
        <f t="shared" si="15"/>
        <v>Low</v>
      </c>
      <c r="CH32" s="314" t="str">
        <f t="shared" si="15"/>
        <v>Low</v>
      </c>
      <c r="CI32" s="314" t="str">
        <f t="shared" si="15"/>
        <v>Low</v>
      </c>
      <c r="CJ32" s="314" t="str">
        <f t="shared" ref="CJ32:CY35" si="16">BX32</f>
        <v>Med</v>
      </c>
      <c r="CK32" s="314" t="str">
        <f t="shared" si="16"/>
        <v>Med</v>
      </c>
      <c r="CL32" s="314" t="str">
        <f t="shared" si="16"/>
        <v>Med</v>
      </c>
      <c r="CM32" s="314" t="str">
        <f t="shared" si="16"/>
        <v>Med</v>
      </c>
      <c r="CN32" s="314" t="str">
        <f t="shared" si="16"/>
        <v>Med</v>
      </c>
      <c r="CO32" s="314" t="str">
        <f t="shared" si="16"/>
        <v>Med</v>
      </c>
      <c r="CP32" s="314" t="str">
        <f t="shared" si="16"/>
        <v>Med</v>
      </c>
      <c r="CQ32" s="314" t="str">
        <f t="shared" si="16"/>
        <v>Med</v>
      </c>
      <c r="CR32" s="314" t="str">
        <f t="shared" si="16"/>
        <v>Med</v>
      </c>
      <c r="CS32" s="314" t="str">
        <f t="shared" si="16"/>
        <v>Low</v>
      </c>
      <c r="CT32" s="314" t="str">
        <f t="shared" si="16"/>
        <v>Low</v>
      </c>
      <c r="CU32" s="314" t="str">
        <f t="shared" si="16"/>
        <v>Low</v>
      </c>
      <c r="CV32" s="314" t="str">
        <f t="shared" si="16"/>
        <v>Med</v>
      </c>
      <c r="CW32" s="314" t="str">
        <f t="shared" si="16"/>
        <v>Med</v>
      </c>
      <c r="CX32" s="314" t="str">
        <f t="shared" si="16"/>
        <v>Med</v>
      </c>
      <c r="CY32" s="314" t="str">
        <f t="shared" si="16"/>
        <v>Med</v>
      </c>
      <c r="CZ32" s="314" t="str">
        <f t="shared" ref="CZ32:CZ35" si="17">CN32</f>
        <v>Med</v>
      </c>
      <c r="DA32" s="1"/>
    </row>
    <row r="33" spans="1:106" ht="16.5" outlineLevel="1" x14ac:dyDescent="0.35">
      <c r="A33" s="403" t="s">
        <v>281</v>
      </c>
      <c r="B33" s="404"/>
      <c r="C33" s="405"/>
      <c r="D33" s="405"/>
      <c r="E33" s="406"/>
      <c r="F33" s="181"/>
      <c r="G33" s="181"/>
      <c r="H33" s="183" t="str">
        <f>HLOOKUP(MONTH(H$31),'Weather Calculation'!$H$19:$S$23,3,TRUE)</f>
        <v>Low</v>
      </c>
      <c r="I33" s="173" t="str">
        <f>HLOOKUP(MONTH(I$31),'Weather Calculation'!$H$19:$S$23,3,TRUE)</f>
        <v>Low</v>
      </c>
      <c r="J33" s="173" t="str">
        <f>HLOOKUP(MONTH(J$31),'Weather Calculation'!$H$19:$S$23,3,TRUE)</f>
        <v>Med</v>
      </c>
      <c r="K33" s="173" t="str">
        <f>HLOOKUP(MONTH(K$31),'Weather Calculation'!$H$19:$S$23,3,TRUE)</f>
        <v>Med</v>
      </c>
      <c r="L33" s="173" t="str">
        <f>HLOOKUP(MONTH(L$31),'Weather Calculation'!$H$19:$S$23,3,TRUE)</f>
        <v>Med</v>
      </c>
      <c r="M33" s="173" t="str">
        <f>HLOOKUP(MONTH(M$31),'Weather Calculation'!$H$19:$S$23,3,TRUE)</f>
        <v>High</v>
      </c>
      <c r="N33" s="173" t="str">
        <f>HLOOKUP(MONTH(N$31),'Weather Calculation'!$H$19:$S$23,3,TRUE)</f>
        <v>High</v>
      </c>
      <c r="O33" s="173" t="str">
        <f>HLOOKUP(MONTH(O$31),'Weather Calculation'!$H$19:$S$23,3,TRUE)</f>
        <v>Med</v>
      </c>
      <c r="P33" s="173" t="str">
        <f>HLOOKUP(MONTH(P$31),'Weather Calculation'!$H$19:$S$23,3,TRUE)</f>
        <v>Med</v>
      </c>
      <c r="Q33" s="173" t="str">
        <f>HLOOKUP(MONTH(Q$31),'Weather Calculation'!$H$19:$S$23,3,TRUE)</f>
        <v>Low</v>
      </c>
      <c r="R33" s="173" t="str">
        <f>HLOOKUP(MONTH(R$31),'Weather Calculation'!$H$19:$S$23,3,TRUE)</f>
        <v>Low</v>
      </c>
      <c r="S33" s="173" t="str">
        <f>HLOOKUP(MONTH(S$31),'Weather Calculation'!$H$19:$S$23,3,TRUE)</f>
        <v>Low</v>
      </c>
      <c r="T33" s="173" t="str">
        <f t="shared" ref="T33:T35" si="18">H33</f>
        <v>Low</v>
      </c>
      <c r="U33" s="173" t="str">
        <f t="shared" si="12"/>
        <v>Low</v>
      </c>
      <c r="V33" s="173" t="str">
        <f t="shared" si="12"/>
        <v>Med</v>
      </c>
      <c r="W33" s="173" t="str">
        <f t="shared" si="12"/>
        <v>Med</v>
      </c>
      <c r="X33" s="173" t="str">
        <f t="shared" si="12"/>
        <v>Med</v>
      </c>
      <c r="Y33" s="173" t="str">
        <f t="shared" si="12"/>
        <v>High</v>
      </c>
      <c r="Z33" s="173" t="str">
        <f t="shared" si="12"/>
        <v>High</v>
      </c>
      <c r="AA33" s="173" t="str">
        <f t="shared" si="12"/>
        <v>Med</v>
      </c>
      <c r="AB33" s="173" t="str">
        <f t="shared" si="12"/>
        <v>Med</v>
      </c>
      <c r="AC33" s="173" t="str">
        <f t="shared" si="12"/>
        <v>Low</v>
      </c>
      <c r="AD33" s="173" t="str">
        <f t="shared" si="12"/>
        <v>Low</v>
      </c>
      <c r="AE33" s="173" t="str">
        <f t="shared" si="12"/>
        <v>Low</v>
      </c>
      <c r="AF33" s="173" t="str">
        <f t="shared" si="12"/>
        <v>Low</v>
      </c>
      <c r="AG33" s="173" t="str">
        <f t="shared" si="12"/>
        <v>Low</v>
      </c>
      <c r="AH33" s="173" t="str">
        <f t="shared" si="12"/>
        <v>Med</v>
      </c>
      <c r="AI33" s="173" t="str">
        <f t="shared" si="12"/>
        <v>Med</v>
      </c>
      <c r="AJ33" s="173" t="str">
        <f t="shared" si="12"/>
        <v>Med</v>
      </c>
      <c r="AK33" s="173" t="str">
        <f t="shared" si="12"/>
        <v>High</v>
      </c>
      <c r="AL33" s="173" t="str">
        <f t="shared" si="12"/>
        <v>High</v>
      </c>
      <c r="AM33" s="173" t="str">
        <f t="shared" si="12"/>
        <v>Med</v>
      </c>
      <c r="AN33" s="173" t="str">
        <f t="shared" si="13"/>
        <v>Med</v>
      </c>
      <c r="AO33" s="173" t="str">
        <f t="shared" si="13"/>
        <v>Low</v>
      </c>
      <c r="AP33" s="173" t="str">
        <f t="shared" si="13"/>
        <v>Low</v>
      </c>
      <c r="AQ33" s="173" t="str">
        <f t="shared" si="13"/>
        <v>Low</v>
      </c>
      <c r="AR33" s="173" t="str">
        <f t="shared" si="13"/>
        <v>Low</v>
      </c>
      <c r="AS33" s="173" t="str">
        <f t="shared" si="13"/>
        <v>Low</v>
      </c>
      <c r="AT33" s="173" t="str">
        <f t="shared" si="13"/>
        <v>Med</v>
      </c>
      <c r="AU33" s="173" t="str">
        <f t="shared" si="13"/>
        <v>Med</v>
      </c>
      <c r="AV33" s="173" t="str">
        <f t="shared" si="13"/>
        <v>Med</v>
      </c>
      <c r="AW33" s="173" t="str">
        <f t="shared" si="13"/>
        <v>High</v>
      </c>
      <c r="AX33" s="173" t="str">
        <f t="shared" si="13"/>
        <v>High</v>
      </c>
      <c r="AY33" s="173" t="str">
        <f t="shared" si="13"/>
        <v>Med</v>
      </c>
      <c r="AZ33" s="173" t="str">
        <f t="shared" si="13"/>
        <v>Med</v>
      </c>
      <c r="BA33" s="173" t="str">
        <f t="shared" si="13"/>
        <v>Low</v>
      </c>
      <c r="BB33" s="173" t="str">
        <f t="shared" si="13"/>
        <v>Low</v>
      </c>
      <c r="BC33" s="173" t="str">
        <f t="shared" si="13"/>
        <v>Low</v>
      </c>
      <c r="BD33" s="173" t="str">
        <f t="shared" si="14"/>
        <v>Low</v>
      </c>
      <c r="BE33" s="173" t="str">
        <f t="shared" si="14"/>
        <v>Low</v>
      </c>
      <c r="BF33" s="173" t="str">
        <f t="shared" si="14"/>
        <v>Med</v>
      </c>
      <c r="BG33" s="173" t="str">
        <f t="shared" si="14"/>
        <v>Med</v>
      </c>
      <c r="BH33" s="173" t="str">
        <f t="shared" si="14"/>
        <v>Med</v>
      </c>
      <c r="BI33" s="173" t="str">
        <f t="shared" si="14"/>
        <v>High</v>
      </c>
      <c r="BJ33" s="173" t="str">
        <f t="shared" si="14"/>
        <v>High</v>
      </c>
      <c r="BK33" s="173" t="str">
        <f t="shared" si="14"/>
        <v>Med</v>
      </c>
      <c r="BL33" s="173" t="str">
        <f t="shared" si="14"/>
        <v>Med</v>
      </c>
      <c r="BM33" s="173" t="str">
        <f t="shared" si="14"/>
        <v>Low</v>
      </c>
      <c r="BN33" s="173" t="str">
        <f t="shared" si="14"/>
        <v>Low</v>
      </c>
      <c r="BO33" s="173" t="str">
        <f t="shared" si="14"/>
        <v>Low</v>
      </c>
      <c r="BP33" s="173" t="str">
        <f t="shared" si="14"/>
        <v>Low</v>
      </c>
      <c r="BQ33" s="173" t="str">
        <f t="shared" si="14"/>
        <v>Low</v>
      </c>
      <c r="BR33" s="173" t="str">
        <f t="shared" si="14"/>
        <v>Med</v>
      </c>
      <c r="BS33" s="173" t="str">
        <f t="shared" si="14"/>
        <v>Med</v>
      </c>
      <c r="BT33" s="173" t="str">
        <f t="shared" si="15"/>
        <v>Med</v>
      </c>
      <c r="BU33" s="173" t="str">
        <f t="shared" si="15"/>
        <v>High</v>
      </c>
      <c r="BV33" s="173" t="str">
        <f t="shared" si="15"/>
        <v>High</v>
      </c>
      <c r="BW33" s="173" t="str">
        <f t="shared" si="15"/>
        <v>Med</v>
      </c>
      <c r="BX33" s="173" t="str">
        <f t="shared" si="15"/>
        <v>Med</v>
      </c>
      <c r="BY33" s="173" t="str">
        <f t="shared" si="15"/>
        <v>Low</v>
      </c>
      <c r="BZ33" s="173" t="str">
        <f t="shared" si="15"/>
        <v>Low</v>
      </c>
      <c r="CA33" s="173" t="str">
        <f t="shared" si="15"/>
        <v>Low</v>
      </c>
      <c r="CB33" s="173" t="str">
        <f t="shared" si="15"/>
        <v>Low</v>
      </c>
      <c r="CC33" s="173" t="str">
        <f t="shared" si="15"/>
        <v>Low</v>
      </c>
      <c r="CD33" s="173" t="str">
        <f t="shared" si="15"/>
        <v>Med</v>
      </c>
      <c r="CE33" s="173" t="str">
        <f t="shared" si="15"/>
        <v>Med</v>
      </c>
      <c r="CF33" s="173" t="str">
        <f t="shared" si="15"/>
        <v>Med</v>
      </c>
      <c r="CG33" s="173" t="str">
        <f t="shared" si="15"/>
        <v>High</v>
      </c>
      <c r="CH33" s="173" t="str">
        <f t="shared" si="15"/>
        <v>High</v>
      </c>
      <c r="CI33" s="173" t="str">
        <f t="shared" si="15"/>
        <v>Med</v>
      </c>
      <c r="CJ33" s="173" t="str">
        <f t="shared" si="16"/>
        <v>Med</v>
      </c>
      <c r="CK33" s="173" t="str">
        <f t="shared" si="16"/>
        <v>Low</v>
      </c>
      <c r="CL33" s="173" t="str">
        <f t="shared" si="16"/>
        <v>Low</v>
      </c>
      <c r="CM33" s="173" t="str">
        <f t="shared" si="16"/>
        <v>Low</v>
      </c>
      <c r="CN33" s="173" t="str">
        <f t="shared" si="16"/>
        <v>Low</v>
      </c>
      <c r="CO33" s="173" t="str">
        <f t="shared" si="16"/>
        <v>Low</v>
      </c>
      <c r="CP33" s="173" t="str">
        <f t="shared" si="16"/>
        <v>Med</v>
      </c>
      <c r="CQ33" s="173" t="str">
        <f t="shared" si="16"/>
        <v>Med</v>
      </c>
      <c r="CR33" s="173" t="str">
        <f t="shared" si="16"/>
        <v>Med</v>
      </c>
      <c r="CS33" s="173" t="str">
        <f t="shared" si="16"/>
        <v>High</v>
      </c>
      <c r="CT33" s="173" t="str">
        <f t="shared" si="16"/>
        <v>High</v>
      </c>
      <c r="CU33" s="173" t="str">
        <f t="shared" si="16"/>
        <v>Med</v>
      </c>
      <c r="CV33" s="173" t="str">
        <f t="shared" si="16"/>
        <v>Med</v>
      </c>
      <c r="CW33" s="173" t="str">
        <f t="shared" si="16"/>
        <v>Low</v>
      </c>
      <c r="CX33" s="173" t="str">
        <f t="shared" si="16"/>
        <v>Low</v>
      </c>
      <c r="CY33" s="173" t="str">
        <f t="shared" si="16"/>
        <v>Low</v>
      </c>
      <c r="CZ33" s="173" t="str">
        <f t="shared" si="17"/>
        <v>Low</v>
      </c>
      <c r="DA33" s="1"/>
    </row>
    <row r="34" spans="1:106" ht="16.5" outlineLevel="1" x14ac:dyDescent="0.35">
      <c r="A34" s="403" t="s">
        <v>282</v>
      </c>
      <c r="B34" s="404"/>
      <c r="C34" s="405"/>
      <c r="D34" s="405"/>
      <c r="E34" s="406"/>
      <c r="F34" s="181"/>
      <c r="G34" s="181"/>
      <c r="H34" s="183" t="str">
        <f>HLOOKUP(MONTH(H$31),'Weather Calculation'!$H$19:$S$23,4,TRUE)</f>
        <v>High</v>
      </c>
      <c r="I34" s="173" t="str">
        <f>HLOOKUP(MONTH(I$31),'Weather Calculation'!$H$19:$S$23,4,TRUE)</f>
        <v>High</v>
      </c>
      <c r="J34" s="173" t="str">
        <f>HLOOKUP(MONTH(J$31),'Weather Calculation'!$H$19:$S$23,4,TRUE)</f>
        <v>High</v>
      </c>
      <c r="K34" s="173" t="str">
        <f>HLOOKUP(MONTH(K$31),'Weather Calculation'!$H$19:$S$23,4,TRUE)</f>
        <v>Med</v>
      </c>
      <c r="L34" s="173" t="str">
        <f>HLOOKUP(MONTH(L$31),'Weather Calculation'!$H$19:$S$23,4,TRUE)</f>
        <v>High</v>
      </c>
      <c r="M34" s="173" t="str">
        <f>HLOOKUP(MONTH(M$31),'Weather Calculation'!$H$19:$S$23,4,TRUE)</f>
        <v>Low</v>
      </c>
      <c r="N34" s="173" t="str">
        <f>HLOOKUP(MONTH(N$31),'Weather Calculation'!$H$19:$S$23,4,TRUE)</f>
        <v>Low</v>
      </c>
      <c r="O34" s="173" t="str">
        <f>HLOOKUP(MONTH(O$31),'Weather Calculation'!$H$19:$S$23,4,TRUE)</f>
        <v>Med</v>
      </c>
      <c r="P34" s="173" t="str">
        <f>HLOOKUP(MONTH(P$31),'Weather Calculation'!$H$19:$S$23,4,TRUE)</f>
        <v>High</v>
      </c>
      <c r="Q34" s="173" t="str">
        <f>HLOOKUP(MONTH(Q$31),'Weather Calculation'!$H$19:$S$23,4,TRUE)</f>
        <v>High</v>
      </c>
      <c r="R34" s="173" t="str">
        <f>HLOOKUP(MONTH(R$31),'Weather Calculation'!$H$19:$S$23,4,TRUE)</f>
        <v>High</v>
      </c>
      <c r="S34" s="173" t="str">
        <f>HLOOKUP(MONTH(S$31),'Weather Calculation'!$H$19:$S$23,4,TRUE)</f>
        <v>High</v>
      </c>
      <c r="T34" s="173" t="str">
        <f t="shared" si="18"/>
        <v>High</v>
      </c>
      <c r="U34" s="173" t="str">
        <f t="shared" si="12"/>
        <v>High</v>
      </c>
      <c r="V34" s="173" t="str">
        <f t="shared" si="12"/>
        <v>High</v>
      </c>
      <c r="W34" s="173" t="str">
        <f t="shared" si="12"/>
        <v>Med</v>
      </c>
      <c r="X34" s="173" t="str">
        <f t="shared" si="12"/>
        <v>High</v>
      </c>
      <c r="Y34" s="173" t="str">
        <f t="shared" si="12"/>
        <v>Low</v>
      </c>
      <c r="Z34" s="173" t="str">
        <f t="shared" si="12"/>
        <v>Low</v>
      </c>
      <c r="AA34" s="173" t="str">
        <f t="shared" si="12"/>
        <v>Med</v>
      </c>
      <c r="AB34" s="173" t="str">
        <f t="shared" si="12"/>
        <v>High</v>
      </c>
      <c r="AC34" s="173" t="str">
        <f t="shared" si="12"/>
        <v>High</v>
      </c>
      <c r="AD34" s="173" t="str">
        <f t="shared" si="12"/>
        <v>High</v>
      </c>
      <c r="AE34" s="173" t="str">
        <f t="shared" si="12"/>
        <v>High</v>
      </c>
      <c r="AF34" s="173" t="str">
        <f t="shared" si="12"/>
        <v>High</v>
      </c>
      <c r="AG34" s="173" t="str">
        <f t="shared" si="12"/>
        <v>High</v>
      </c>
      <c r="AH34" s="173" t="str">
        <f t="shared" si="12"/>
        <v>High</v>
      </c>
      <c r="AI34" s="173" t="str">
        <f t="shared" si="12"/>
        <v>Med</v>
      </c>
      <c r="AJ34" s="173" t="str">
        <f t="shared" si="12"/>
        <v>High</v>
      </c>
      <c r="AK34" s="173" t="str">
        <f t="shared" si="12"/>
        <v>Low</v>
      </c>
      <c r="AL34" s="173" t="str">
        <f t="shared" si="12"/>
        <v>Low</v>
      </c>
      <c r="AM34" s="173" t="str">
        <f t="shared" si="12"/>
        <v>Med</v>
      </c>
      <c r="AN34" s="173" t="str">
        <f t="shared" si="13"/>
        <v>High</v>
      </c>
      <c r="AO34" s="173" t="str">
        <f t="shared" si="13"/>
        <v>High</v>
      </c>
      <c r="AP34" s="173" t="str">
        <f t="shared" si="13"/>
        <v>High</v>
      </c>
      <c r="AQ34" s="173" t="str">
        <f t="shared" si="13"/>
        <v>High</v>
      </c>
      <c r="AR34" s="173" t="str">
        <f t="shared" si="13"/>
        <v>High</v>
      </c>
      <c r="AS34" s="173" t="str">
        <f t="shared" si="13"/>
        <v>High</v>
      </c>
      <c r="AT34" s="173" t="str">
        <f t="shared" si="13"/>
        <v>High</v>
      </c>
      <c r="AU34" s="173" t="str">
        <f t="shared" si="13"/>
        <v>Med</v>
      </c>
      <c r="AV34" s="173" t="str">
        <f t="shared" si="13"/>
        <v>High</v>
      </c>
      <c r="AW34" s="173" t="str">
        <f t="shared" si="13"/>
        <v>Low</v>
      </c>
      <c r="AX34" s="173" t="str">
        <f t="shared" si="13"/>
        <v>Low</v>
      </c>
      <c r="AY34" s="173" t="str">
        <f t="shared" si="13"/>
        <v>Med</v>
      </c>
      <c r="AZ34" s="173" t="str">
        <f t="shared" si="13"/>
        <v>High</v>
      </c>
      <c r="BA34" s="173" t="str">
        <f t="shared" si="13"/>
        <v>High</v>
      </c>
      <c r="BB34" s="173" t="str">
        <f t="shared" si="13"/>
        <v>High</v>
      </c>
      <c r="BC34" s="173" t="str">
        <f t="shared" si="13"/>
        <v>High</v>
      </c>
      <c r="BD34" s="173" t="str">
        <f t="shared" si="14"/>
        <v>High</v>
      </c>
      <c r="BE34" s="173" t="str">
        <f t="shared" si="14"/>
        <v>High</v>
      </c>
      <c r="BF34" s="173" t="str">
        <f t="shared" si="14"/>
        <v>High</v>
      </c>
      <c r="BG34" s="173" t="str">
        <f t="shared" si="14"/>
        <v>Med</v>
      </c>
      <c r="BH34" s="173" t="str">
        <f t="shared" si="14"/>
        <v>High</v>
      </c>
      <c r="BI34" s="173" t="str">
        <f t="shared" si="14"/>
        <v>Low</v>
      </c>
      <c r="BJ34" s="173" t="str">
        <f t="shared" si="14"/>
        <v>Low</v>
      </c>
      <c r="BK34" s="173" t="str">
        <f t="shared" si="14"/>
        <v>Med</v>
      </c>
      <c r="BL34" s="173" t="str">
        <f t="shared" si="14"/>
        <v>High</v>
      </c>
      <c r="BM34" s="173" t="str">
        <f t="shared" si="14"/>
        <v>High</v>
      </c>
      <c r="BN34" s="173" t="str">
        <f t="shared" si="14"/>
        <v>High</v>
      </c>
      <c r="BO34" s="173" t="str">
        <f t="shared" si="14"/>
        <v>High</v>
      </c>
      <c r="BP34" s="173" t="str">
        <f t="shared" si="14"/>
        <v>High</v>
      </c>
      <c r="BQ34" s="173" t="str">
        <f t="shared" si="14"/>
        <v>High</v>
      </c>
      <c r="BR34" s="173" t="str">
        <f t="shared" si="14"/>
        <v>High</v>
      </c>
      <c r="BS34" s="173" t="str">
        <f t="shared" si="14"/>
        <v>Med</v>
      </c>
      <c r="BT34" s="173" t="str">
        <f t="shared" si="15"/>
        <v>High</v>
      </c>
      <c r="BU34" s="173" t="str">
        <f t="shared" si="15"/>
        <v>Low</v>
      </c>
      <c r="BV34" s="173" t="str">
        <f t="shared" si="15"/>
        <v>Low</v>
      </c>
      <c r="BW34" s="173" t="str">
        <f t="shared" si="15"/>
        <v>Med</v>
      </c>
      <c r="BX34" s="173" t="str">
        <f t="shared" si="15"/>
        <v>High</v>
      </c>
      <c r="BY34" s="173" t="str">
        <f t="shared" si="15"/>
        <v>High</v>
      </c>
      <c r="BZ34" s="173" t="str">
        <f t="shared" si="15"/>
        <v>High</v>
      </c>
      <c r="CA34" s="173" t="str">
        <f t="shared" si="15"/>
        <v>High</v>
      </c>
      <c r="CB34" s="173" t="str">
        <f t="shared" si="15"/>
        <v>High</v>
      </c>
      <c r="CC34" s="173" t="str">
        <f t="shared" si="15"/>
        <v>High</v>
      </c>
      <c r="CD34" s="173" t="str">
        <f t="shared" si="15"/>
        <v>High</v>
      </c>
      <c r="CE34" s="173" t="str">
        <f t="shared" si="15"/>
        <v>Med</v>
      </c>
      <c r="CF34" s="173" t="str">
        <f t="shared" si="15"/>
        <v>High</v>
      </c>
      <c r="CG34" s="173" t="str">
        <f t="shared" si="15"/>
        <v>Low</v>
      </c>
      <c r="CH34" s="173" t="str">
        <f t="shared" si="15"/>
        <v>Low</v>
      </c>
      <c r="CI34" s="173" t="str">
        <f t="shared" si="15"/>
        <v>Med</v>
      </c>
      <c r="CJ34" s="173" t="str">
        <f t="shared" si="16"/>
        <v>High</v>
      </c>
      <c r="CK34" s="173" t="str">
        <f t="shared" si="16"/>
        <v>High</v>
      </c>
      <c r="CL34" s="173" t="str">
        <f t="shared" si="16"/>
        <v>High</v>
      </c>
      <c r="CM34" s="173" t="str">
        <f t="shared" si="16"/>
        <v>High</v>
      </c>
      <c r="CN34" s="173" t="str">
        <f t="shared" si="16"/>
        <v>High</v>
      </c>
      <c r="CO34" s="173" t="str">
        <f t="shared" si="16"/>
        <v>High</v>
      </c>
      <c r="CP34" s="173" t="str">
        <f t="shared" si="16"/>
        <v>High</v>
      </c>
      <c r="CQ34" s="173" t="str">
        <f t="shared" si="16"/>
        <v>Med</v>
      </c>
      <c r="CR34" s="173" t="str">
        <f t="shared" si="16"/>
        <v>High</v>
      </c>
      <c r="CS34" s="173" t="str">
        <f t="shared" si="16"/>
        <v>Low</v>
      </c>
      <c r="CT34" s="173" t="str">
        <f t="shared" si="16"/>
        <v>Low</v>
      </c>
      <c r="CU34" s="173" t="str">
        <f t="shared" si="16"/>
        <v>Med</v>
      </c>
      <c r="CV34" s="173" t="str">
        <f t="shared" si="16"/>
        <v>High</v>
      </c>
      <c r="CW34" s="173" t="str">
        <f t="shared" si="16"/>
        <v>High</v>
      </c>
      <c r="CX34" s="173" t="str">
        <f t="shared" si="16"/>
        <v>High</v>
      </c>
      <c r="CY34" s="173" t="str">
        <f t="shared" si="16"/>
        <v>High</v>
      </c>
      <c r="CZ34" s="173" t="str">
        <f t="shared" si="17"/>
        <v>High</v>
      </c>
      <c r="DA34" s="1"/>
    </row>
    <row r="35" spans="1:106" ht="17" outlineLevel="1" thickBot="1" x14ac:dyDescent="0.4">
      <c r="A35" s="403" t="s">
        <v>283</v>
      </c>
      <c r="B35" s="404"/>
      <c r="C35" s="405"/>
      <c r="D35" s="405"/>
      <c r="E35" s="406"/>
      <c r="F35" s="182"/>
      <c r="G35" s="182"/>
      <c r="H35" s="184" t="str">
        <f>HLOOKUP(MONTH(H$31),'Weather Calculation'!$H$19:$S$23,5,TRUE)</f>
        <v>Med</v>
      </c>
      <c r="I35" s="185" t="str">
        <f>HLOOKUP(MONTH(I$31),'Weather Calculation'!$H$19:$S$23,5,TRUE)</f>
        <v>Med</v>
      </c>
      <c r="J35" s="185" t="str">
        <f>HLOOKUP(MONTH(J$31),'Weather Calculation'!$H$19:$S$23,5,TRUE)</f>
        <v>Med</v>
      </c>
      <c r="K35" s="185" t="str">
        <f>HLOOKUP(MONTH(K$31),'Weather Calculation'!$H$19:$S$23,5,TRUE)</f>
        <v>Med</v>
      </c>
      <c r="L35" s="185" t="str">
        <f>HLOOKUP(MONTH(L$31),'Weather Calculation'!$H$19:$S$23,5,TRUE)</f>
        <v>Med</v>
      </c>
      <c r="M35" s="185" t="str">
        <f>HLOOKUP(MONTH(M$31),'Weather Calculation'!$H$19:$S$23,5,TRUE)</f>
        <v>Med</v>
      </c>
      <c r="N35" s="185" t="str">
        <f>HLOOKUP(MONTH(N$31),'Weather Calculation'!$H$19:$S$23,5,TRUE)</f>
        <v>Med</v>
      </c>
      <c r="O35" s="185" t="str">
        <f>HLOOKUP(MONTH(O$31),'Weather Calculation'!$H$19:$S$23,5,TRUE)</f>
        <v>Med</v>
      </c>
      <c r="P35" s="185" t="str">
        <f>HLOOKUP(MONTH(P$31),'Weather Calculation'!$H$19:$S$23,5,TRUE)</f>
        <v>Low</v>
      </c>
      <c r="Q35" s="185" t="str">
        <f>HLOOKUP(MONTH(Q$31),'Weather Calculation'!$H$19:$S$23,5,TRUE)</f>
        <v>Low</v>
      </c>
      <c r="R35" s="185" t="str">
        <f>HLOOKUP(MONTH(R$31),'Weather Calculation'!$H$19:$S$23,5,TRUE)</f>
        <v>Low</v>
      </c>
      <c r="S35" s="185" t="str">
        <f>HLOOKUP(MONTH(S$31),'Weather Calculation'!$H$19:$S$23,5,TRUE)</f>
        <v>Med</v>
      </c>
      <c r="T35" s="185" t="str">
        <f t="shared" si="18"/>
        <v>Med</v>
      </c>
      <c r="U35" s="185" t="str">
        <f t="shared" si="12"/>
        <v>Med</v>
      </c>
      <c r="V35" s="185" t="str">
        <f t="shared" si="12"/>
        <v>Med</v>
      </c>
      <c r="W35" s="185" t="str">
        <f t="shared" si="12"/>
        <v>Med</v>
      </c>
      <c r="X35" s="185" t="str">
        <f t="shared" si="12"/>
        <v>Med</v>
      </c>
      <c r="Y35" s="185" t="str">
        <f t="shared" si="12"/>
        <v>Med</v>
      </c>
      <c r="Z35" s="185" t="str">
        <f t="shared" si="12"/>
        <v>Med</v>
      </c>
      <c r="AA35" s="185" t="str">
        <f t="shared" si="12"/>
        <v>Med</v>
      </c>
      <c r="AB35" s="185" t="str">
        <f t="shared" si="12"/>
        <v>Low</v>
      </c>
      <c r="AC35" s="185" t="str">
        <f t="shared" si="12"/>
        <v>Low</v>
      </c>
      <c r="AD35" s="185" t="str">
        <f t="shared" si="12"/>
        <v>Low</v>
      </c>
      <c r="AE35" s="185" t="str">
        <f t="shared" si="12"/>
        <v>Med</v>
      </c>
      <c r="AF35" s="185" t="str">
        <f t="shared" si="12"/>
        <v>Med</v>
      </c>
      <c r="AG35" s="185" t="str">
        <f t="shared" si="12"/>
        <v>Med</v>
      </c>
      <c r="AH35" s="185" t="str">
        <f t="shared" si="12"/>
        <v>Med</v>
      </c>
      <c r="AI35" s="185" t="str">
        <f t="shared" si="12"/>
        <v>Med</v>
      </c>
      <c r="AJ35" s="185" t="str">
        <f t="shared" si="12"/>
        <v>Med</v>
      </c>
      <c r="AK35" s="185" t="str">
        <f t="shared" si="12"/>
        <v>Med</v>
      </c>
      <c r="AL35" s="185" t="str">
        <f t="shared" si="12"/>
        <v>Med</v>
      </c>
      <c r="AM35" s="185" t="str">
        <f t="shared" si="12"/>
        <v>Med</v>
      </c>
      <c r="AN35" s="185" t="str">
        <f t="shared" si="13"/>
        <v>Low</v>
      </c>
      <c r="AO35" s="185" t="str">
        <f t="shared" si="13"/>
        <v>Low</v>
      </c>
      <c r="AP35" s="185" t="str">
        <f t="shared" si="13"/>
        <v>Low</v>
      </c>
      <c r="AQ35" s="185" t="str">
        <f t="shared" si="13"/>
        <v>Med</v>
      </c>
      <c r="AR35" s="185" t="str">
        <f t="shared" si="13"/>
        <v>Med</v>
      </c>
      <c r="AS35" s="185" t="str">
        <f t="shared" si="13"/>
        <v>Med</v>
      </c>
      <c r="AT35" s="185" t="str">
        <f t="shared" si="13"/>
        <v>Med</v>
      </c>
      <c r="AU35" s="185" t="str">
        <f t="shared" si="13"/>
        <v>Med</v>
      </c>
      <c r="AV35" s="185" t="str">
        <f t="shared" si="13"/>
        <v>Med</v>
      </c>
      <c r="AW35" s="185" t="str">
        <f t="shared" si="13"/>
        <v>Med</v>
      </c>
      <c r="AX35" s="185" t="str">
        <f t="shared" si="13"/>
        <v>Med</v>
      </c>
      <c r="AY35" s="185" t="str">
        <f t="shared" si="13"/>
        <v>Med</v>
      </c>
      <c r="AZ35" s="185" t="str">
        <f t="shared" si="13"/>
        <v>Low</v>
      </c>
      <c r="BA35" s="185" t="str">
        <f t="shared" si="13"/>
        <v>Low</v>
      </c>
      <c r="BB35" s="185" t="str">
        <f t="shared" si="13"/>
        <v>Low</v>
      </c>
      <c r="BC35" s="185" t="str">
        <f t="shared" si="13"/>
        <v>Med</v>
      </c>
      <c r="BD35" s="185" t="str">
        <f t="shared" si="14"/>
        <v>Med</v>
      </c>
      <c r="BE35" s="185" t="str">
        <f t="shared" si="14"/>
        <v>Med</v>
      </c>
      <c r="BF35" s="185" t="str">
        <f t="shared" si="14"/>
        <v>Med</v>
      </c>
      <c r="BG35" s="185" t="str">
        <f t="shared" si="14"/>
        <v>Med</v>
      </c>
      <c r="BH35" s="185" t="str">
        <f t="shared" si="14"/>
        <v>Med</v>
      </c>
      <c r="BI35" s="185" t="str">
        <f t="shared" si="14"/>
        <v>Med</v>
      </c>
      <c r="BJ35" s="185" t="str">
        <f t="shared" si="14"/>
        <v>Med</v>
      </c>
      <c r="BK35" s="185" t="str">
        <f t="shared" si="14"/>
        <v>Med</v>
      </c>
      <c r="BL35" s="185" t="str">
        <f t="shared" si="14"/>
        <v>Low</v>
      </c>
      <c r="BM35" s="185" t="str">
        <f t="shared" si="14"/>
        <v>Low</v>
      </c>
      <c r="BN35" s="185" t="str">
        <f t="shared" si="14"/>
        <v>Low</v>
      </c>
      <c r="BO35" s="185" t="str">
        <f t="shared" si="14"/>
        <v>Med</v>
      </c>
      <c r="BP35" s="185" t="str">
        <f t="shared" si="14"/>
        <v>Med</v>
      </c>
      <c r="BQ35" s="185" t="str">
        <f t="shared" si="14"/>
        <v>Med</v>
      </c>
      <c r="BR35" s="185" t="str">
        <f t="shared" si="14"/>
        <v>Med</v>
      </c>
      <c r="BS35" s="185" t="str">
        <f t="shared" si="14"/>
        <v>Med</v>
      </c>
      <c r="BT35" s="185" t="str">
        <f t="shared" si="15"/>
        <v>Med</v>
      </c>
      <c r="BU35" s="185" t="str">
        <f t="shared" si="15"/>
        <v>Med</v>
      </c>
      <c r="BV35" s="185" t="str">
        <f t="shared" si="15"/>
        <v>Med</v>
      </c>
      <c r="BW35" s="185" t="str">
        <f t="shared" si="15"/>
        <v>Med</v>
      </c>
      <c r="BX35" s="185" t="str">
        <f t="shared" si="15"/>
        <v>Low</v>
      </c>
      <c r="BY35" s="185" t="str">
        <f t="shared" si="15"/>
        <v>Low</v>
      </c>
      <c r="BZ35" s="185" t="str">
        <f t="shared" si="15"/>
        <v>Low</v>
      </c>
      <c r="CA35" s="185" t="str">
        <f t="shared" si="15"/>
        <v>Med</v>
      </c>
      <c r="CB35" s="185" t="str">
        <f t="shared" si="15"/>
        <v>Med</v>
      </c>
      <c r="CC35" s="185" t="str">
        <f t="shared" si="15"/>
        <v>Med</v>
      </c>
      <c r="CD35" s="185" t="str">
        <f t="shared" si="15"/>
        <v>Med</v>
      </c>
      <c r="CE35" s="185" t="str">
        <f t="shared" si="15"/>
        <v>Med</v>
      </c>
      <c r="CF35" s="185" t="str">
        <f t="shared" si="15"/>
        <v>Med</v>
      </c>
      <c r="CG35" s="185" t="str">
        <f t="shared" si="15"/>
        <v>Med</v>
      </c>
      <c r="CH35" s="185" t="str">
        <f t="shared" si="15"/>
        <v>Med</v>
      </c>
      <c r="CI35" s="185" t="str">
        <f t="shared" si="15"/>
        <v>Med</v>
      </c>
      <c r="CJ35" s="185" t="str">
        <f t="shared" si="16"/>
        <v>Low</v>
      </c>
      <c r="CK35" s="185" t="str">
        <f t="shared" si="16"/>
        <v>Low</v>
      </c>
      <c r="CL35" s="185" t="str">
        <f t="shared" si="16"/>
        <v>Low</v>
      </c>
      <c r="CM35" s="185" t="str">
        <f t="shared" si="16"/>
        <v>Med</v>
      </c>
      <c r="CN35" s="185" t="str">
        <f t="shared" si="16"/>
        <v>Med</v>
      </c>
      <c r="CO35" s="185" t="str">
        <f t="shared" si="16"/>
        <v>Med</v>
      </c>
      <c r="CP35" s="185" t="str">
        <f t="shared" si="16"/>
        <v>Med</v>
      </c>
      <c r="CQ35" s="185" t="str">
        <f t="shared" si="16"/>
        <v>Med</v>
      </c>
      <c r="CR35" s="185" t="str">
        <f t="shared" si="16"/>
        <v>Med</v>
      </c>
      <c r="CS35" s="185" t="str">
        <f t="shared" si="16"/>
        <v>Med</v>
      </c>
      <c r="CT35" s="185" t="str">
        <f t="shared" si="16"/>
        <v>Med</v>
      </c>
      <c r="CU35" s="185" t="str">
        <f t="shared" si="16"/>
        <v>Med</v>
      </c>
      <c r="CV35" s="185" t="str">
        <f t="shared" si="16"/>
        <v>Low</v>
      </c>
      <c r="CW35" s="185" t="str">
        <f t="shared" si="16"/>
        <v>Low</v>
      </c>
      <c r="CX35" s="185" t="str">
        <f t="shared" si="16"/>
        <v>Low</v>
      </c>
      <c r="CY35" s="185" t="str">
        <f t="shared" si="16"/>
        <v>Med</v>
      </c>
      <c r="CZ35" s="185" t="str">
        <f t="shared" si="17"/>
        <v>Med</v>
      </c>
      <c r="DA35" s="1"/>
    </row>
    <row r="36" spans="1:106" ht="5.15" customHeight="1" outlineLevel="1" thickBot="1" x14ac:dyDescent="0.4">
      <c r="A36" s="407"/>
      <c r="B36" s="408"/>
      <c r="C36" s="408"/>
      <c r="D36" s="408"/>
      <c r="E36" s="409"/>
      <c r="F36" s="22"/>
      <c r="G36" s="22"/>
      <c r="H36" s="22"/>
      <c r="I36" s="22"/>
      <c r="J36" s="22"/>
      <c r="K36" s="410"/>
      <c r="L36" s="410"/>
      <c r="M36" s="410"/>
      <c r="N36" s="410"/>
      <c r="O36" s="410"/>
      <c r="P36" s="410"/>
      <c r="Q36" s="410"/>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c r="AO36" s="410"/>
      <c r="AP36" s="410"/>
      <c r="AQ36" s="410"/>
      <c r="AR36" s="410"/>
      <c r="AS36" s="410"/>
      <c r="AT36" s="410"/>
      <c r="AU36" s="410"/>
      <c r="AV36" s="410"/>
      <c r="AW36" s="410"/>
      <c r="AX36" s="410"/>
      <c r="AY36" s="410"/>
      <c r="AZ36" s="410"/>
      <c r="BA36" s="410"/>
      <c r="BB36" s="410"/>
      <c r="BC36" s="410"/>
      <c r="BD36" s="410"/>
      <c r="BE36" s="410"/>
      <c r="BF36" s="410"/>
      <c r="BG36" s="410"/>
      <c r="BH36" s="410"/>
      <c r="BI36" s="410"/>
      <c r="BJ36" s="410"/>
      <c r="BK36" s="410"/>
      <c r="BL36" s="410"/>
      <c r="BM36" s="410"/>
      <c r="BN36" s="410"/>
      <c r="BO36" s="410"/>
      <c r="BP36" s="410"/>
      <c r="BQ36" s="410"/>
      <c r="BR36" s="410"/>
      <c r="BS36" s="410"/>
      <c r="BT36" s="410"/>
      <c r="BU36" s="410"/>
      <c r="BV36" s="410"/>
      <c r="BW36" s="410"/>
      <c r="BX36" s="410"/>
      <c r="BY36" s="410"/>
      <c r="BZ36" s="410"/>
      <c r="CA36" s="410"/>
      <c r="CB36" s="410"/>
      <c r="CC36" s="410"/>
      <c r="CD36" s="410"/>
      <c r="CE36" s="410"/>
      <c r="CF36" s="410"/>
      <c r="CG36" s="410"/>
      <c r="CH36" s="410"/>
      <c r="CI36" s="410"/>
      <c r="CJ36" s="410"/>
      <c r="CK36" s="410"/>
      <c r="CL36" s="410"/>
      <c r="CM36" s="410"/>
      <c r="CN36" s="410"/>
      <c r="CO36" s="410"/>
      <c r="CP36" s="410"/>
      <c r="CQ36" s="410"/>
      <c r="CR36" s="410"/>
      <c r="CS36" s="410"/>
      <c r="CT36" s="410"/>
      <c r="CU36" s="410"/>
      <c r="CV36" s="410"/>
      <c r="CW36" s="410"/>
      <c r="CX36" s="410"/>
      <c r="CY36" s="410"/>
      <c r="CZ36" s="410"/>
      <c r="DA36" s="1"/>
    </row>
    <row r="37" spans="1:106" ht="45.75" customHeight="1" outlineLevel="1" thickBot="1" x14ac:dyDescent="0.4">
      <c r="A37" s="392" t="s">
        <v>92</v>
      </c>
      <c r="B37" s="393"/>
      <c r="C37" s="393"/>
      <c r="D37" s="393"/>
      <c r="E37" s="394"/>
      <c r="F37" s="95"/>
      <c r="G37" s="95"/>
      <c r="H37" s="395" t="str">
        <f>CONCATENATE("Weather Data from BoM Weather Station ",'BOM csv data'!A8)</f>
        <v>Weather Data from BoM Weather Station 086077 MOORABBIN AIRPORT</v>
      </c>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396"/>
      <c r="CT37" s="396"/>
      <c r="CU37" s="396"/>
      <c r="CV37" s="396"/>
      <c r="CW37" s="396"/>
      <c r="CX37" s="396"/>
      <c r="CY37" s="396"/>
      <c r="CZ37" s="396"/>
      <c r="DA37" s="1"/>
    </row>
    <row r="38" spans="1:106" ht="41.25" customHeight="1" outlineLevel="1" thickBot="1" x14ac:dyDescent="0.4">
      <c r="A38" s="397" t="s">
        <v>21</v>
      </c>
      <c r="B38" s="398"/>
      <c r="C38" s="398"/>
      <c r="D38" s="398"/>
      <c r="E38" s="399"/>
      <c r="F38" s="124"/>
      <c r="G38" s="124"/>
      <c r="H38" s="400"/>
      <c r="I38" s="401"/>
      <c r="J38" s="401"/>
      <c r="K38" s="401"/>
      <c r="L38" s="401"/>
      <c r="M38" s="401"/>
      <c r="N38" s="401"/>
      <c r="O38" s="401"/>
      <c r="P38" s="401"/>
      <c r="Q38" s="401"/>
      <c r="R38" s="401"/>
      <c r="S38" s="401"/>
      <c r="T38" s="401"/>
      <c r="U38" s="401"/>
      <c r="V38" s="401"/>
      <c r="W38" s="401"/>
      <c r="X38" s="401"/>
      <c r="Y38" s="401"/>
      <c r="Z38" s="401"/>
      <c r="AA38" s="401"/>
      <c r="AB38" s="401"/>
      <c r="AC38" s="401"/>
      <c r="AD38" s="401"/>
      <c r="AE38" s="401"/>
      <c r="AF38" s="401"/>
      <c r="AG38" s="401"/>
      <c r="AH38" s="401"/>
      <c r="AI38" s="401"/>
      <c r="AJ38" s="401"/>
      <c r="AK38" s="401"/>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01"/>
      <c r="BM38" s="401"/>
      <c r="BN38" s="401"/>
      <c r="BO38" s="401"/>
      <c r="BP38" s="401"/>
      <c r="BQ38" s="401"/>
      <c r="BR38" s="401"/>
      <c r="BS38" s="401"/>
      <c r="BT38" s="401"/>
      <c r="BU38" s="401"/>
      <c r="BV38" s="401"/>
      <c r="BW38" s="401"/>
      <c r="BX38" s="401"/>
      <c r="BY38" s="401"/>
      <c r="BZ38" s="401"/>
      <c r="CA38" s="401"/>
      <c r="CB38" s="401"/>
      <c r="CC38" s="401"/>
      <c r="CD38" s="401"/>
      <c r="CE38" s="401"/>
      <c r="CF38" s="401"/>
      <c r="CG38" s="401"/>
      <c r="CH38" s="401"/>
      <c r="CI38" s="401"/>
      <c r="CJ38" s="401"/>
      <c r="CK38" s="401"/>
      <c r="CL38" s="401"/>
      <c r="CM38" s="401"/>
      <c r="CN38" s="401"/>
      <c r="CO38" s="401"/>
      <c r="CP38" s="401"/>
      <c r="CQ38" s="401"/>
      <c r="CR38" s="401"/>
      <c r="CS38" s="401"/>
      <c r="CT38" s="401"/>
      <c r="CU38" s="401"/>
      <c r="CV38" s="401"/>
      <c r="CW38" s="401"/>
      <c r="CX38" s="401"/>
      <c r="CY38" s="401"/>
      <c r="CZ38" s="401"/>
      <c r="DA38" s="1"/>
    </row>
    <row r="39" spans="1:106" ht="6.75" customHeight="1" thickBot="1" x14ac:dyDescent="0.4">
      <c r="A39" s="1"/>
      <c r="DA39" s="1"/>
    </row>
    <row r="40" spans="1:106" ht="3" customHeight="1" thickBot="1" x14ac:dyDescent="0.4">
      <c r="A40" s="386" t="s">
        <v>169</v>
      </c>
      <c r="B40" s="386"/>
      <c r="C40" s="402"/>
      <c r="D40" s="386" t="s">
        <v>22</v>
      </c>
      <c r="E40" s="386"/>
      <c r="F40" s="125"/>
      <c r="G40" s="125"/>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t="s">
        <v>142</v>
      </c>
      <c r="DA40" s="1"/>
    </row>
    <row r="41" spans="1:106" ht="26" thickBot="1" x14ac:dyDescent="0.4">
      <c r="A41" s="386"/>
      <c r="B41" s="386"/>
      <c r="C41" s="402"/>
      <c r="D41" s="386"/>
      <c r="E41" s="386"/>
      <c r="F41" s="96"/>
      <c r="G41" s="187"/>
      <c r="H41" s="315">
        <f>H$9</f>
        <v>43343</v>
      </c>
      <c r="I41" s="316">
        <f t="shared" ref="I41:AN41" si="19">I$9</f>
        <v>43358</v>
      </c>
      <c r="J41" s="316">
        <f t="shared" si="19"/>
        <v>43388</v>
      </c>
      <c r="K41" s="316">
        <f t="shared" si="19"/>
        <v>43419</v>
      </c>
      <c r="L41" s="316">
        <f t="shared" si="19"/>
        <v>43449</v>
      </c>
      <c r="M41" s="316">
        <f t="shared" si="19"/>
        <v>43480</v>
      </c>
      <c r="N41" s="316">
        <f t="shared" si="19"/>
        <v>43511</v>
      </c>
      <c r="O41" s="316">
        <f t="shared" si="19"/>
        <v>43539</v>
      </c>
      <c r="P41" s="316">
        <f t="shared" si="19"/>
        <v>43570</v>
      </c>
      <c r="Q41" s="316">
        <f t="shared" si="19"/>
        <v>43600</v>
      </c>
      <c r="R41" s="316">
        <f t="shared" si="19"/>
        <v>43631</v>
      </c>
      <c r="S41" s="316">
        <f t="shared" si="19"/>
        <v>43661</v>
      </c>
      <c r="T41" s="316">
        <f t="shared" si="19"/>
        <v>43692</v>
      </c>
      <c r="U41" s="316">
        <f t="shared" si="19"/>
        <v>43723</v>
      </c>
      <c r="V41" s="316">
        <f t="shared" si="19"/>
        <v>43753</v>
      </c>
      <c r="W41" s="316">
        <f t="shared" si="19"/>
        <v>43784</v>
      </c>
      <c r="X41" s="316">
        <f t="shared" si="19"/>
        <v>43814</v>
      </c>
      <c r="Y41" s="316">
        <f t="shared" si="19"/>
        <v>43845</v>
      </c>
      <c r="Z41" s="316">
        <f t="shared" si="19"/>
        <v>43876</v>
      </c>
      <c r="AA41" s="316">
        <f t="shared" si="19"/>
        <v>43905</v>
      </c>
      <c r="AB41" s="316">
        <f t="shared" si="19"/>
        <v>43936</v>
      </c>
      <c r="AC41" s="316">
        <f t="shared" si="19"/>
        <v>43966</v>
      </c>
      <c r="AD41" s="316">
        <f t="shared" si="19"/>
        <v>43997</v>
      </c>
      <c r="AE41" s="316">
        <f t="shared" si="19"/>
        <v>44027</v>
      </c>
      <c r="AF41" s="316">
        <f t="shared" si="19"/>
        <v>44058</v>
      </c>
      <c r="AG41" s="316">
        <f t="shared" si="19"/>
        <v>44089</v>
      </c>
      <c r="AH41" s="316">
        <f t="shared" si="19"/>
        <v>44119</v>
      </c>
      <c r="AI41" s="316">
        <f t="shared" si="19"/>
        <v>44150</v>
      </c>
      <c r="AJ41" s="316">
        <f t="shared" si="19"/>
        <v>44180</v>
      </c>
      <c r="AK41" s="316">
        <f t="shared" si="19"/>
        <v>44211</v>
      </c>
      <c r="AL41" s="316">
        <f t="shared" si="19"/>
        <v>44242</v>
      </c>
      <c r="AM41" s="316">
        <f t="shared" si="19"/>
        <v>44270</v>
      </c>
      <c r="AN41" s="316">
        <f t="shared" si="19"/>
        <v>44301</v>
      </c>
      <c r="AO41" s="316">
        <f t="shared" ref="AO41:CZ41" si="20">AO$9</f>
        <v>44331</v>
      </c>
      <c r="AP41" s="316">
        <f t="shared" si="20"/>
        <v>44362</v>
      </c>
      <c r="AQ41" s="316">
        <f t="shared" si="20"/>
        <v>44392</v>
      </c>
      <c r="AR41" s="316">
        <f t="shared" si="20"/>
        <v>44423</v>
      </c>
      <c r="AS41" s="316">
        <f t="shared" si="20"/>
        <v>44454</v>
      </c>
      <c r="AT41" s="316">
        <f t="shared" si="20"/>
        <v>44484</v>
      </c>
      <c r="AU41" s="316">
        <f t="shared" si="20"/>
        <v>44515</v>
      </c>
      <c r="AV41" s="316">
        <f t="shared" si="20"/>
        <v>44545</v>
      </c>
      <c r="AW41" s="316">
        <f t="shared" si="20"/>
        <v>44576</v>
      </c>
      <c r="AX41" s="316">
        <f t="shared" si="20"/>
        <v>44607</v>
      </c>
      <c r="AY41" s="316">
        <f t="shared" si="20"/>
        <v>44635</v>
      </c>
      <c r="AZ41" s="316">
        <f t="shared" si="20"/>
        <v>44666</v>
      </c>
      <c r="BA41" s="319">
        <f t="shared" si="20"/>
        <v>44696</v>
      </c>
      <c r="BB41" s="319">
        <f t="shared" si="20"/>
        <v>44727</v>
      </c>
      <c r="BC41" s="319">
        <f t="shared" si="20"/>
        <v>44757</v>
      </c>
      <c r="BD41" s="319">
        <f t="shared" si="20"/>
        <v>44788</v>
      </c>
      <c r="BE41" s="319">
        <f t="shared" si="20"/>
        <v>44819</v>
      </c>
      <c r="BF41" s="319">
        <f t="shared" si="20"/>
        <v>44849</v>
      </c>
      <c r="BG41" s="319">
        <f t="shared" si="20"/>
        <v>44880</v>
      </c>
      <c r="BH41" s="319">
        <f t="shared" si="20"/>
        <v>44910</v>
      </c>
      <c r="BI41" s="319">
        <f t="shared" si="20"/>
        <v>44941</v>
      </c>
      <c r="BJ41" s="319">
        <f t="shared" si="20"/>
        <v>44972</v>
      </c>
      <c r="BK41" s="319">
        <f t="shared" si="20"/>
        <v>45000</v>
      </c>
      <c r="BL41" s="319">
        <f t="shared" si="20"/>
        <v>45031</v>
      </c>
      <c r="BM41" s="319">
        <f t="shared" si="20"/>
        <v>45061</v>
      </c>
      <c r="BN41" s="319">
        <f t="shared" si="20"/>
        <v>45092</v>
      </c>
      <c r="BO41" s="319">
        <f t="shared" si="20"/>
        <v>45122</v>
      </c>
      <c r="BP41" s="319">
        <f t="shared" si="20"/>
        <v>45153</v>
      </c>
      <c r="BQ41" s="319">
        <f t="shared" si="20"/>
        <v>45184</v>
      </c>
      <c r="BR41" s="319">
        <f t="shared" si="20"/>
        <v>45214</v>
      </c>
      <c r="BS41" s="319">
        <f t="shared" si="20"/>
        <v>45245</v>
      </c>
      <c r="BT41" s="319">
        <f t="shared" si="20"/>
        <v>45275</v>
      </c>
      <c r="BU41" s="319">
        <f t="shared" si="20"/>
        <v>45306</v>
      </c>
      <c r="BV41" s="319">
        <f t="shared" si="20"/>
        <v>45337</v>
      </c>
      <c r="BW41" s="319">
        <f t="shared" si="20"/>
        <v>45366</v>
      </c>
      <c r="BX41" s="319">
        <f t="shared" si="20"/>
        <v>45397</v>
      </c>
      <c r="BY41" s="319">
        <f t="shared" si="20"/>
        <v>45427</v>
      </c>
      <c r="BZ41" s="319">
        <f t="shared" si="20"/>
        <v>45458</v>
      </c>
      <c r="CA41" s="319">
        <f t="shared" si="20"/>
        <v>45488</v>
      </c>
      <c r="CB41" s="319">
        <f t="shared" si="20"/>
        <v>45519</v>
      </c>
      <c r="CC41" s="319">
        <f t="shared" si="20"/>
        <v>45550</v>
      </c>
      <c r="CD41" s="319">
        <f t="shared" si="20"/>
        <v>45580</v>
      </c>
      <c r="CE41" s="319">
        <f t="shared" si="20"/>
        <v>45611</v>
      </c>
      <c r="CF41" s="319">
        <f t="shared" si="20"/>
        <v>45641</v>
      </c>
      <c r="CG41" s="319">
        <f t="shared" si="20"/>
        <v>45672</v>
      </c>
      <c r="CH41" s="319">
        <f t="shared" si="20"/>
        <v>45703</v>
      </c>
      <c r="CI41" s="319">
        <f t="shared" si="20"/>
        <v>45731</v>
      </c>
      <c r="CJ41" s="319">
        <f t="shared" si="20"/>
        <v>45762</v>
      </c>
      <c r="CK41" s="319">
        <f t="shared" si="20"/>
        <v>45792</v>
      </c>
      <c r="CL41" s="319">
        <f t="shared" si="20"/>
        <v>45823</v>
      </c>
      <c r="CM41" s="319">
        <f t="shared" si="20"/>
        <v>45853</v>
      </c>
      <c r="CN41" s="319">
        <f t="shared" si="20"/>
        <v>45884</v>
      </c>
      <c r="CO41" s="319">
        <f t="shared" si="20"/>
        <v>45915</v>
      </c>
      <c r="CP41" s="319">
        <f t="shared" si="20"/>
        <v>45945</v>
      </c>
      <c r="CQ41" s="319">
        <f t="shared" si="20"/>
        <v>45976</v>
      </c>
      <c r="CR41" s="319">
        <f t="shared" si="20"/>
        <v>46006</v>
      </c>
      <c r="CS41" s="319">
        <f t="shared" si="20"/>
        <v>46037</v>
      </c>
      <c r="CT41" s="319">
        <f t="shared" si="20"/>
        <v>46068</v>
      </c>
      <c r="CU41" s="319">
        <f t="shared" si="20"/>
        <v>46096</v>
      </c>
      <c r="CV41" s="319">
        <f t="shared" si="20"/>
        <v>46127</v>
      </c>
      <c r="CW41" s="319">
        <f t="shared" si="20"/>
        <v>46157</v>
      </c>
      <c r="CX41" s="319">
        <f t="shared" si="20"/>
        <v>46188</v>
      </c>
      <c r="CY41" s="319">
        <f t="shared" si="20"/>
        <v>46218</v>
      </c>
      <c r="CZ41" s="319">
        <f t="shared" si="20"/>
        <v>46249</v>
      </c>
      <c r="DA41" s="1"/>
    </row>
    <row r="42" spans="1:106" x14ac:dyDescent="0.35">
      <c r="A42" s="378" t="s">
        <v>168</v>
      </c>
      <c r="B42" s="379"/>
      <c r="C42" s="379"/>
      <c r="D42" s="368">
        <f>SUM(I42:CZ42)</f>
        <v>54.127296850998469</v>
      </c>
      <c r="E42" s="369"/>
      <c r="F42" s="286"/>
      <c r="G42" s="126"/>
      <c r="H42" s="317"/>
      <c r="I42" s="318">
        <f>IF(I11&gt;0,(HLOOKUP(MONTH(I$41),'Weather Calculation'!$H$68:$S$81,(I11+1),TRUE)),0)</f>
        <v>2.0771875</v>
      </c>
      <c r="J42" s="318">
        <f>IF(J11&gt;0,(HLOOKUP(MONTH(J$41),'Weather Calculation'!$H$68:$S$81,(J11+1),TRUE)),0)</f>
        <v>2.2959677419354838</v>
      </c>
      <c r="K42" s="318">
        <f>IF(K11&gt;0,(HLOOKUP(MONTH(K$41),'Weather Calculation'!$H$68:$S$81,(K11+1),TRUE)),0)</f>
        <v>3.9375</v>
      </c>
      <c r="L42" s="318">
        <f>IF(L11&gt;0,(HLOOKUP(MONTH(L$41),'Weather Calculation'!$H$68:$S$81,(L11+1),TRUE)),0)</f>
        <v>2.1411290322580645</v>
      </c>
      <c r="M42" s="318">
        <f>IF(M11&gt;0,(HLOOKUP(MONTH(M$41),'Weather Calculation'!$H$68:$S$81,(M11+1),TRUE)),0)</f>
        <v>1.9233870967741935</v>
      </c>
      <c r="N42" s="318">
        <f>IF(N11&gt;0,(HLOOKUP(MONTH(N$41),'Weather Calculation'!$H$68:$S$81,(N11+1),TRUE)),0)</f>
        <v>3.0790178571428575</v>
      </c>
      <c r="O42" s="318">
        <f>IF(O11&gt;0,(HLOOKUP(MONTH(O$41),'Weather Calculation'!$H$68:$S$81,(O11+1),TRUE)),0)</f>
        <v>2.9491935483870968</v>
      </c>
      <c r="P42" s="318">
        <f>IF(P11&gt;0,(HLOOKUP(MONTH(P$41),'Weather Calculation'!$H$68:$S$81,(P11+1),TRUE)),0)</f>
        <v>3.8118749999999997</v>
      </c>
      <c r="Q42" s="318">
        <f>IF(Q11&gt;0,(HLOOKUP(MONTH(Q$41),'Weather Calculation'!$H$68:$S$81,(Q11+1),TRUE)),0)</f>
        <v>5.564516129032258</v>
      </c>
      <c r="R42" s="318">
        <f>IF(R11&gt;0,(HLOOKUP(MONTH(R$41),'Weather Calculation'!$H$68:$S$81,(R11+1),TRUE)),0)</f>
        <v>1.6721249999999999</v>
      </c>
      <c r="S42" s="318">
        <f>IF(S11&gt;0,(HLOOKUP(MONTH(S$41),'Weather Calculation'!$H$68:$S$81,(S11+1),TRUE)),0)</f>
        <v>2.225806451612903</v>
      </c>
      <c r="T42" s="318">
        <f>IF(T11&gt;0,(HLOOKUP(MONTH(T$41),'Weather Calculation'!$H$68:$S$81,(T11+1),TRUE)),0)</f>
        <v>2.229677419354839</v>
      </c>
      <c r="U42" s="318">
        <f>IF(U11&gt;0,(HLOOKUP(MONTH(U$41),'Weather Calculation'!$H$68:$S$81,(U11+1),TRUE)),0)</f>
        <v>2.0771875</v>
      </c>
      <c r="V42" s="318">
        <f>IF(V11&gt;0,(HLOOKUP(MONTH(V$41),'Weather Calculation'!$H$68:$S$81,(V11+1),TRUE)),0)</f>
        <v>2.2959677419354838</v>
      </c>
      <c r="W42" s="318">
        <f>IF(W11&gt;0,(HLOOKUP(MONTH(W$41),'Weather Calculation'!$H$68:$S$81,(W11+1),TRUE)),0)</f>
        <v>1.6749999999999998</v>
      </c>
      <c r="X42" s="318">
        <f>IF(X11&gt;0,(HLOOKUP(MONTH(X$41),'Weather Calculation'!$H$68:$S$81,(X11+1),TRUE)),0)</f>
        <v>0.92903225806451606</v>
      </c>
      <c r="Y42" s="318">
        <f>IF(Y11&gt;0,(HLOOKUP(MONTH(Y$41),'Weather Calculation'!$H$68:$S$81,(Y11+1),TRUE)),0)</f>
        <v>0.83014112903225801</v>
      </c>
      <c r="Z42" s="318">
        <f>IF(Z11&gt;0,(HLOOKUP(MONTH(Z$41),'Weather Calculation'!$H$68:$S$81,(Z11+1),TRUE)),0)</f>
        <v>1.3774553571428574</v>
      </c>
      <c r="AA42" s="318">
        <f>IF(AA11&gt;0,(HLOOKUP(MONTH(AA$41),'Weather Calculation'!$H$68:$S$81,(AA11+1),TRUE)),0)</f>
        <v>1.2520161290322582</v>
      </c>
      <c r="AB42" s="318">
        <f>IF(AB11&gt;0,(HLOOKUP(MONTH(AB$41),'Weather Calculation'!$H$68:$S$81,(AB11+1),TRUE)),0)</f>
        <v>1.6090624999999998</v>
      </c>
      <c r="AC42" s="318">
        <f>IF(AC11&gt;0,(HLOOKUP(MONTH(AC$41),'Weather Calculation'!$H$68:$S$81,(AC11+1),TRUE)),0)</f>
        <v>2.253024193548387</v>
      </c>
      <c r="AD42" s="318">
        <f>IF(AD11&gt;0,(HLOOKUP(MONTH(AD$41),'Weather Calculation'!$H$68:$S$81,(AD11+1),TRUE)),0)</f>
        <v>1.6537500000000001</v>
      </c>
      <c r="AE42" s="318">
        <f>IF(AE11&gt;0,(HLOOKUP(MONTH(AE$41),'Weather Calculation'!$H$68:$S$81,(AE11+1),TRUE)),0)</f>
        <v>0.26209677419354838</v>
      </c>
      <c r="AF42" s="318">
        <f>IF(AF11&gt;0,(HLOOKUP(MONTH(AF$41),'Weather Calculation'!$H$68:$S$81,(AF11+1),TRUE)),0)</f>
        <v>0.27096774193548384</v>
      </c>
      <c r="AG42" s="318">
        <f>IF(AG11&gt;0,(HLOOKUP(MONTH(AG$41),'Weather Calculation'!$H$68:$S$81,(AG11+1),TRUE)),0)</f>
        <v>0.32104166666666667</v>
      </c>
      <c r="AH42" s="318">
        <f>IF(AH11&gt;0,(HLOOKUP(MONTH(AH$41),'Weather Calculation'!$H$68:$S$81,(AH11+1),TRUE)),0)</f>
        <v>0.40887096774193549</v>
      </c>
      <c r="AI42" s="318">
        <f>IF(AI11&gt;0,(HLOOKUP(MONTH(AI$41),'Weather Calculation'!$H$68:$S$81,(AI11+1),TRUE)),0)</f>
        <v>0.32500000000000001</v>
      </c>
      <c r="AJ42" s="318">
        <f>IF(AJ11&gt;0,(HLOOKUP(MONTH(AJ$41),'Weather Calculation'!$H$68:$S$81,(AJ11+1),TRUE)),0)</f>
        <v>0.19838709677419353</v>
      </c>
      <c r="AK42" s="318">
        <f>IF(AK11&gt;0,(HLOOKUP(MONTH(AK$41),'Weather Calculation'!$H$68:$S$81,(AK11+1),TRUE)),0)</f>
        <v>0.1723790322580645</v>
      </c>
      <c r="AL42" s="318">
        <f>IF(AL11&gt;0,(HLOOKUP(MONTH(AL$41),'Weather Calculation'!$H$68:$S$81,(AL11+1),TRUE)),0)</f>
        <v>0.32901785714285714</v>
      </c>
      <c r="AM42" s="318">
        <f>IF(AM11&gt;0,(HLOOKUP(MONTH(AM$41),'Weather Calculation'!$H$68:$S$81,(AM11+1),TRUE)),0)</f>
        <v>0.24112903225806454</v>
      </c>
      <c r="AN42" s="318">
        <f>IF(AN11&gt;0,(HLOOKUP(MONTH(AN$41),'Weather Calculation'!$H$68:$S$81,(AN11+1),TRUE)),0)</f>
        <v>0.31270833333333337</v>
      </c>
      <c r="AO42" s="318">
        <f>IF(AO11&gt;0,(HLOOKUP(MONTH(AO$41),'Weather Calculation'!$H$68:$S$81,(AO11+1),TRUE)),0)</f>
        <v>0.35282258064516125</v>
      </c>
      <c r="AP42" s="318">
        <f>IF(AP11&gt;0,(HLOOKUP(MONTH(AP$41),'Weather Calculation'!$H$68:$S$81,(AP11+1),TRUE)),0)</f>
        <v>0.21874999999999997</v>
      </c>
      <c r="AQ42" s="318">
        <f>IF(AQ11&gt;0,(HLOOKUP(MONTH(AQ$41),'Weather Calculation'!$H$68:$S$81,(AQ11+1),TRUE)),0)</f>
        <v>0.26209677419354838</v>
      </c>
      <c r="AR42" s="318">
        <f>IF(AR11&gt;0,(HLOOKUP(MONTH(AR$41),'Weather Calculation'!$H$68:$S$81,(AR11+1),TRUE)),0)</f>
        <v>0.27096774193548384</v>
      </c>
      <c r="AS42" s="318">
        <f>IF(AS11&gt;0,(HLOOKUP(MONTH(AS$41),'Weather Calculation'!$H$68:$S$81,(AS11+1),TRUE)),0)</f>
        <v>0.32104166666666667</v>
      </c>
      <c r="AT42" s="318">
        <f>IF(AT11&gt;0,(HLOOKUP(MONTH(AT$41),'Weather Calculation'!$H$68:$S$81,(AT11+1),TRUE)),0)</f>
        <v>0</v>
      </c>
      <c r="AU42" s="318">
        <f>IF(AU11&gt;0,(HLOOKUP(MONTH(AU$41),'Weather Calculation'!$H$68:$S$81,(AU11+1),TRUE)),0)</f>
        <v>0</v>
      </c>
      <c r="AV42" s="318">
        <f>IF(AV11&gt;0,(HLOOKUP(MONTH(AV$41),'Weather Calculation'!$H$68:$S$81,(AV11+1),TRUE)),0)</f>
        <v>0</v>
      </c>
      <c r="AW42" s="318">
        <f>IF(AW11&gt;0,(HLOOKUP(MONTH(AW$41),'Weather Calculation'!$H$68:$S$81,(AW11+1),TRUE)),0)</f>
        <v>0</v>
      </c>
      <c r="AX42" s="318">
        <f>IF(AX11&gt;0,(HLOOKUP(MONTH(AX$41),'Weather Calculation'!$H$68:$S$81,(AX11+1),TRUE)),0)</f>
        <v>0</v>
      </c>
      <c r="AY42" s="318">
        <f>IF(AY11&gt;0,(HLOOKUP(MONTH(AY$41),'Weather Calculation'!$H$68:$S$81,(AY11+1),TRUE)),0)</f>
        <v>0</v>
      </c>
      <c r="AZ42" s="318">
        <f>IF(AZ11&gt;0,(HLOOKUP(MONTH(AZ$41),'Weather Calculation'!$H$68:$S$81,(AZ11+1),TRUE)),0)</f>
        <v>0</v>
      </c>
      <c r="BA42" s="318">
        <f>IF(BA11&gt;0,(HLOOKUP(MONTH(BA$41),'Weather Calculation'!$H$68:$S$81,(BA11+1),TRUE)),0)</f>
        <v>0</v>
      </c>
      <c r="BB42" s="318">
        <f>IF(BB11&gt;0,(HLOOKUP(MONTH(BB$41),'Weather Calculation'!$H$68:$S$81,(BB11+1),TRUE)),0)</f>
        <v>0</v>
      </c>
      <c r="BC42" s="318">
        <f>IF(BC11&gt;0,(HLOOKUP(MONTH(BC$41),'Weather Calculation'!$H$68:$S$81,(BC11+1),TRUE)),0)</f>
        <v>0</v>
      </c>
      <c r="BD42" s="318">
        <f>IF(BD11&gt;0,(HLOOKUP(MONTH(BD$41),'Weather Calculation'!$H$68:$S$81,(BD11+1),TRUE)),0)</f>
        <v>0</v>
      </c>
      <c r="BE42" s="318">
        <f>IF(BE11&gt;0,(HLOOKUP(MONTH(BE$41),'Weather Calculation'!$H$68:$S$81,(BE11+1),TRUE)),0)</f>
        <v>0</v>
      </c>
      <c r="BF42" s="318">
        <f>IF(BF11&gt;0,(HLOOKUP(MONTH(BF$41),'Weather Calculation'!$H$68:$S$81,(BF11+1),TRUE)),0)</f>
        <v>0</v>
      </c>
      <c r="BG42" s="318">
        <f>IF(BG11&gt;0,(HLOOKUP(MONTH(BG$41),'Weather Calculation'!$H$68:$S$81,(BG11+1),TRUE)),0)</f>
        <v>0</v>
      </c>
      <c r="BH42" s="318">
        <f>IF(BH11&gt;0,(HLOOKUP(MONTH(BH$41),'Weather Calculation'!$H$68:$S$81,(BH11+1),TRUE)),0)</f>
        <v>0</v>
      </c>
      <c r="BI42" s="318">
        <f>IF(BI11&gt;0,(HLOOKUP(MONTH(BI$41),'Weather Calculation'!$H$68:$S$81,(BI11+1),TRUE)),0)</f>
        <v>0</v>
      </c>
      <c r="BJ42" s="318">
        <f>IF(BJ11&gt;0,(HLOOKUP(MONTH(BJ$41),'Weather Calculation'!$H$68:$S$81,(BJ11+1),TRUE)),0)</f>
        <v>0</v>
      </c>
      <c r="BK42" s="318">
        <f>IF(BK11&gt;0,(HLOOKUP(MONTH(BK$41),'Weather Calculation'!$H$68:$S$81,(BK11+1),TRUE)),0)</f>
        <v>0</v>
      </c>
      <c r="BL42" s="318">
        <f>IF(BL11&gt;0,(HLOOKUP(MONTH(BL$41),'Weather Calculation'!$H$68:$S$81,(BL11+1),TRUE)),0)</f>
        <v>0</v>
      </c>
      <c r="BM42" s="318">
        <f>IF(BM11&gt;0,(HLOOKUP(MONTH(BM$41),'Weather Calculation'!$H$68:$S$81,(BM11+1),TRUE)),0)</f>
        <v>0</v>
      </c>
      <c r="BN42" s="318">
        <f>IF(BN11&gt;0,(HLOOKUP(MONTH(BN$41),'Weather Calculation'!$H$68:$S$81,(BN11+1),TRUE)),0)</f>
        <v>0</v>
      </c>
      <c r="BO42" s="318">
        <f>IF(BO11&gt;0,(HLOOKUP(MONTH(BO$41),'Weather Calculation'!$H$68:$S$81,(BO11+1),TRUE)),0)</f>
        <v>0</v>
      </c>
      <c r="BP42" s="318">
        <f>IF(BP11&gt;0,(HLOOKUP(MONTH(BP$41),'Weather Calculation'!$H$68:$S$81,(BP11+1),TRUE)),0)</f>
        <v>0</v>
      </c>
      <c r="BQ42" s="318">
        <f>IF(BQ11&gt;0,(HLOOKUP(MONTH(BQ$41),'Weather Calculation'!$H$68:$S$81,(BQ11+1),TRUE)),0)</f>
        <v>0</v>
      </c>
      <c r="BR42" s="318">
        <f>IF(BR11&gt;0,(HLOOKUP(MONTH(BR$41),'Weather Calculation'!$H$68:$S$81,(BR11+1),TRUE)),0)</f>
        <v>0</v>
      </c>
      <c r="BS42" s="318">
        <f>IF(BS11&gt;0,(HLOOKUP(MONTH(BS$41),'Weather Calculation'!$H$68:$S$81,(BS11+1),TRUE)),0)</f>
        <v>0</v>
      </c>
      <c r="BT42" s="318">
        <f>IF(BT11&gt;0,(HLOOKUP(MONTH(BT$41),'Weather Calculation'!$H$68:$S$81,(BT11+1),TRUE)),0)</f>
        <v>0</v>
      </c>
      <c r="BU42" s="318">
        <f>IF(BU11&gt;0,(HLOOKUP(MONTH(BU$41),'Weather Calculation'!$H$68:$S$81,(BU11+1),TRUE)),0)</f>
        <v>0</v>
      </c>
      <c r="BV42" s="318">
        <f>IF(BV11&gt;0,(HLOOKUP(MONTH(BV$41),'Weather Calculation'!$H$68:$S$81,(BV11+1),TRUE)),0)</f>
        <v>0</v>
      </c>
      <c r="BW42" s="318">
        <f>IF(BW11&gt;0,(HLOOKUP(MONTH(BW$41),'Weather Calculation'!$H$68:$S$81,(BW11+1),TRUE)),0)</f>
        <v>0</v>
      </c>
      <c r="BX42" s="318">
        <f>IF(BX11&gt;0,(HLOOKUP(MONTH(BX$41),'Weather Calculation'!$H$68:$S$81,(BX11+1),TRUE)),0)</f>
        <v>0</v>
      </c>
      <c r="BY42" s="318">
        <f>IF(BY11&gt;0,(HLOOKUP(MONTH(BY$41),'Weather Calculation'!$H$68:$S$81,(BY11+1),TRUE)),0)</f>
        <v>0</v>
      </c>
      <c r="BZ42" s="318">
        <f>IF(BZ11&gt;0,(HLOOKUP(MONTH(BZ$41),'Weather Calculation'!$H$68:$S$81,(BZ11+1),TRUE)),0)</f>
        <v>0</v>
      </c>
      <c r="CA42" s="318">
        <f>IF(CA11&gt;0,(HLOOKUP(MONTH(CA$41),'Weather Calculation'!$H$68:$S$81,(CA11+1),TRUE)),0)</f>
        <v>0</v>
      </c>
      <c r="CB42" s="318">
        <f>IF(CB11&gt;0,(HLOOKUP(MONTH(CB$41),'Weather Calculation'!$H$68:$S$81,(CB11+1),TRUE)),0)</f>
        <v>0</v>
      </c>
      <c r="CC42" s="318">
        <f>IF(CC11&gt;0,(HLOOKUP(MONTH(CC$41),'Weather Calculation'!$H$68:$S$81,(CC11+1),TRUE)),0)</f>
        <v>0</v>
      </c>
      <c r="CD42" s="318">
        <f>IF(CD11&gt;0,(HLOOKUP(MONTH(CD$41),'Weather Calculation'!$H$68:$S$81,(CD11+1),TRUE)),0)</f>
        <v>0</v>
      </c>
      <c r="CE42" s="318">
        <f>IF(CE11&gt;0,(HLOOKUP(MONTH(CE$41),'Weather Calculation'!$H$68:$S$81,(CE11+1),TRUE)),0)</f>
        <v>0</v>
      </c>
      <c r="CF42" s="318">
        <f>IF(CF11&gt;0,(HLOOKUP(MONTH(CF$41),'Weather Calculation'!$H$68:$S$81,(CF11+1),TRUE)),0)</f>
        <v>0</v>
      </c>
      <c r="CG42" s="318">
        <f>IF(CG11&gt;0,(HLOOKUP(MONTH(CG$41),'Weather Calculation'!$H$68:$S$81,(CG11+1),TRUE)),0)</f>
        <v>0</v>
      </c>
      <c r="CH42" s="318">
        <f>IF(CH11&gt;0,(HLOOKUP(MONTH(CH$41),'Weather Calculation'!$H$68:$S$81,(CH11+1),TRUE)),0)</f>
        <v>0</v>
      </c>
      <c r="CI42" s="318">
        <f>IF(CI11&gt;0,(HLOOKUP(MONTH(CI$41),'Weather Calculation'!$H$68:$S$81,(CI11+1),TRUE)),0)</f>
        <v>0</v>
      </c>
      <c r="CJ42" s="318">
        <f>IF(CJ11&gt;0,(HLOOKUP(MONTH(CJ$41),'Weather Calculation'!$H$68:$S$81,(CJ11+1),TRUE)),0)</f>
        <v>0</v>
      </c>
      <c r="CK42" s="318">
        <f>IF(CK11&gt;0,(HLOOKUP(MONTH(CK$41),'Weather Calculation'!$H$68:$S$81,(CK11+1),TRUE)),0)</f>
        <v>0</v>
      </c>
      <c r="CL42" s="318">
        <f>IF(CL11&gt;0,(HLOOKUP(MONTH(CL$41),'Weather Calculation'!$H$68:$S$81,(CL11+1),TRUE)),0)</f>
        <v>0</v>
      </c>
      <c r="CM42" s="318">
        <f>IF(CM11&gt;0,(HLOOKUP(MONTH(CM$41),'Weather Calculation'!$H$68:$S$81,(CM11+1),TRUE)),0)</f>
        <v>0</v>
      </c>
      <c r="CN42" s="318">
        <f>IF(CN11&gt;0,(HLOOKUP(MONTH(CN$41),'Weather Calculation'!$H$68:$S$81,(CN11+1),TRUE)),0)</f>
        <v>0</v>
      </c>
      <c r="CO42" s="318">
        <f>IF(CO11&gt;0,(HLOOKUP(MONTH(CO$41),'Weather Calculation'!$H$68:$S$81,(CO11+1),TRUE)),0)</f>
        <v>0</v>
      </c>
      <c r="CP42" s="318">
        <f>IF(CP11&gt;0,(HLOOKUP(MONTH(CP$41),'Weather Calculation'!$H$68:$S$81,(CP11+1),TRUE)),0)</f>
        <v>0</v>
      </c>
      <c r="CQ42" s="318">
        <f>IF(CQ11&gt;0,(HLOOKUP(MONTH(CQ$41),'Weather Calculation'!$H$68:$S$81,(CQ11+1),TRUE)),0)</f>
        <v>0</v>
      </c>
      <c r="CR42" s="318">
        <f>IF(CR11&gt;0,(HLOOKUP(MONTH(CR$41),'Weather Calculation'!$H$68:$S$81,(CR11+1),TRUE)),0)</f>
        <v>0</v>
      </c>
      <c r="CS42" s="318">
        <f>IF(CS11&gt;0,(HLOOKUP(MONTH(CS$41),'Weather Calculation'!$H$68:$S$81,(CS11+1),TRUE)),0)</f>
        <v>0</v>
      </c>
      <c r="CT42" s="318">
        <f>IF(CT11&gt;0,(HLOOKUP(MONTH(CT$41),'Weather Calculation'!$H$68:$S$81,(CT11+1),TRUE)),0)</f>
        <v>0</v>
      </c>
      <c r="CU42" s="318">
        <f>IF(CU11&gt;0,(HLOOKUP(MONTH(CU$41),'Weather Calculation'!$H$68:$S$81,(CU11+1),TRUE)),0)</f>
        <v>0</v>
      </c>
      <c r="CV42" s="318">
        <f>IF(CV11&gt;0,(HLOOKUP(MONTH(CV$41),'Weather Calculation'!$H$68:$S$81,(CV11+1),TRUE)),0)</f>
        <v>0</v>
      </c>
      <c r="CW42" s="318">
        <f>IF(CW11&gt;0,(HLOOKUP(MONTH(CW$41),'Weather Calculation'!$H$68:$S$81,(CW11+1),TRUE)),0)</f>
        <v>0</v>
      </c>
      <c r="CX42" s="318">
        <f>IF(CX11&gt;0,(HLOOKUP(MONTH(CX$41),'Weather Calculation'!$H$68:$S$81,(CX11+1),TRUE)),0)</f>
        <v>0</v>
      </c>
      <c r="CY42" s="318">
        <f>IF(CY11&gt;0,(HLOOKUP(MONTH(CY$41),'Weather Calculation'!$H$68:$S$81,(CY11+1),TRUE)),0)</f>
        <v>0</v>
      </c>
      <c r="CZ42" s="318">
        <f>IF(CZ11&gt;0,(HLOOKUP(MONTH(CZ$41),'Weather Calculation'!$H$68:$S$81,(CZ11+1),TRUE)),0)</f>
        <v>0</v>
      </c>
      <c r="DA42" s="1"/>
      <c r="DB42" s="284"/>
    </row>
    <row r="43" spans="1:106" x14ac:dyDescent="0.35">
      <c r="A43" s="366" t="s">
        <v>194</v>
      </c>
      <c r="B43" s="380"/>
      <c r="C43" s="135">
        <f>'Weather Calculation'!E5</f>
        <v>0.4</v>
      </c>
      <c r="D43" s="368">
        <f t="shared" ref="D43:D50" si="21">SUM(I43:CZ43)</f>
        <v>4.4986175115207372</v>
      </c>
      <c r="E43" s="369"/>
      <c r="F43" s="286"/>
      <c r="G43" s="126"/>
      <c r="H43" s="136"/>
      <c r="I43" s="155">
        <f>IF(I$9&lt;$F$7,(HLOOKUP(MONTH(I$41),'Weather Calculation'!$H$68:$S$81,7,TRUE)),0)</f>
        <v>0</v>
      </c>
      <c r="J43" s="155">
        <f>IF(J$9&lt;$F$7,(HLOOKUP(MONTH(J$41),'Weather Calculation'!$H$68:$S$81,7,TRUE)),0)</f>
        <v>0</v>
      </c>
      <c r="K43" s="155">
        <f>IF(K$9&lt;$F$7,(HLOOKUP(MONTH(K$41),'Weather Calculation'!$H$68:$S$81,7,TRUE)),0)</f>
        <v>7.9999999999999988E-2</v>
      </c>
      <c r="L43" s="155">
        <f>IF(L$9&lt;$F$7,(HLOOKUP(MONTH(L$41),'Weather Calculation'!$H$68:$S$81,7,TRUE)),0)</f>
        <v>0.16258064516129034</v>
      </c>
      <c r="M43" s="155">
        <f>IF(M$9&lt;$F$7,(HLOOKUP(MONTH(M$41),'Weather Calculation'!$H$68:$S$81,7,TRUE)),0)</f>
        <v>0.38709677419354838</v>
      </c>
      <c r="N43" s="155">
        <f>IF(N$9&lt;$F$7,(HLOOKUP(MONTH(N$41),'Weather Calculation'!$H$68:$S$81,7,TRUE)),0)</f>
        <v>0.36142857142857138</v>
      </c>
      <c r="O43" s="155">
        <f>IF(O$9&lt;$F$7,(HLOOKUP(MONTH(O$41),'Weather Calculation'!$H$68:$S$81,7,TRUE)),0)</f>
        <v>0.13354838709677422</v>
      </c>
      <c r="P43" s="155">
        <f>IF(P$9&lt;$F$7,(HLOOKUP(MONTH(P$41),'Weather Calculation'!$H$68:$S$81,7,TRUE)),0)</f>
        <v>0</v>
      </c>
      <c r="Q43" s="155">
        <f>IF(Q$9&lt;$F$7,(HLOOKUP(MONTH(Q$41),'Weather Calculation'!$H$68:$S$81,7,TRUE)),0)</f>
        <v>0</v>
      </c>
      <c r="R43" s="155">
        <f>IF(R$9&lt;$F$7,(HLOOKUP(MONTH(R$41),'Weather Calculation'!$H$68:$S$81,7,TRUE)),0)</f>
        <v>0</v>
      </c>
      <c r="S43" s="155">
        <f>IF(S$9&lt;$F$7,(HLOOKUP(MONTH(S$41),'Weather Calculation'!$H$68:$S$81,7,TRUE)),0)</f>
        <v>0</v>
      </c>
      <c r="T43" s="155">
        <f>IF(T$9&lt;$F$7,(HLOOKUP(MONTH(T$41),'Weather Calculation'!$H$68:$S$81,7,TRUE)),0)</f>
        <v>0</v>
      </c>
      <c r="U43" s="155">
        <f>IF(U$9&lt;$F$7,(HLOOKUP(MONTH(U$41),'Weather Calculation'!$H$68:$S$81,7,TRUE)),0)</f>
        <v>0</v>
      </c>
      <c r="V43" s="155">
        <f>IF(V$9&lt;$F$7,(HLOOKUP(MONTH(V$41),'Weather Calculation'!$H$68:$S$81,7,TRUE)),0)</f>
        <v>0</v>
      </c>
      <c r="W43" s="155">
        <f>IF(W$9&lt;$F$7,(HLOOKUP(MONTH(W$41),'Weather Calculation'!$H$68:$S$81,7,TRUE)),0)</f>
        <v>7.9999999999999988E-2</v>
      </c>
      <c r="X43" s="155">
        <f>IF(X$9&lt;$F$7,(HLOOKUP(MONTH(X$41),'Weather Calculation'!$H$68:$S$81,7,TRUE)),0)</f>
        <v>0.16258064516129034</v>
      </c>
      <c r="Y43" s="155">
        <f>IF(Y$9&lt;$F$7,(HLOOKUP(MONTH(Y$41),'Weather Calculation'!$H$68:$S$81,7,TRUE)),0)</f>
        <v>0.38709677419354838</v>
      </c>
      <c r="Z43" s="155">
        <f>IF(Z$9&lt;$F$7,(HLOOKUP(MONTH(Z$41),'Weather Calculation'!$H$68:$S$81,7,TRUE)),0)</f>
        <v>0.36142857142857138</v>
      </c>
      <c r="AA43" s="155">
        <f>IF(AA$9&lt;$F$7,(HLOOKUP(MONTH(AA$41),'Weather Calculation'!$H$68:$S$81,7,TRUE)),0)</f>
        <v>0.13354838709677422</v>
      </c>
      <c r="AB43" s="155">
        <f>IF(AB$9&lt;$F$7,(HLOOKUP(MONTH(AB$41),'Weather Calculation'!$H$68:$S$81,7,TRUE)),0)</f>
        <v>0</v>
      </c>
      <c r="AC43" s="155">
        <f>IF(AC$9&lt;$F$7,(HLOOKUP(MONTH(AC$41),'Weather Calculation'!$H$68:$S$81,7,TRUE)),0)</f>
        <v>0</v>
      </c>
      <c r="AD43" s="155">
        <f>IF(AD$9&lt;$F$7,(HLOOKUP(MONTH(AD$41),'Weather Calculation'!$H$68:$S$81,7,TRUE)),0)</f>
        <v>0</v>
      </c>
      <c r="AE43" s="155">
        <f>IF(AE$9&lt;$F$7,(HLOOKUP(MONTH(AE$41),'Weather Calculation'!$H$68:$S$81,7,TRUE)),0)</f>
        <v>0</v>
      </c>
      <c r="AF43" s="155">
        <f>IF(AF$9&lt;$F$7,(HLOOKUP(MONTH(AF$41),'Weather Calculation'!$H$68:$S$81,7,TRUE)),0)</f>
        <v>0</v>
      </c>
      <c r="AG43" s="155">
        <f>IF(AG$9&lt;$F$7,(HLOOKUP(MONTH(AG$41),'Weather Calculation'!$H$68:$S$81,7,TRUE)),0)</f>
        <v>0</v>
      </c>
      <c r="AH43" s="155">
        <f>IF(AH$9&lt;$F$7,(HLOOKUP(MONTH(AH$41),'Weather Calculation'!$H$68:$S$81,7,TRUE)),0)</f>
        <v>0</v>
      </c>
      <c r="AI43" s="155">
        <f>IF(AI$9&lt;$F$7,(HLOOKUP(MONTH(AI$41),'Weather Calculation'!$H$68:$S$81,7,TRUE)),0)</f>
        <v>7.9999999999999988E-2</v>
      </c>
      <c r="AJ43" s="155">
        <f>IF(AJ$9&lt;$F$7,(HLOOKUP(MONTH(AJ$41),'Weather Calculation'!$H$68:$S$81,7,TRUE)),0)</f>
        <v>0.16258064516129034</v>
      </c>
      <c r="AK43" s="155">
        <f>IF(AK$9&lt;$F$7,(HLOOKUP(MONTH(AK$41),'Weather Calculation'!$H$68:$S$81,7,TRUE)),0)</f>
        <v>0.38709677419354838</v>
      </c>
      <c r="AL43" s="155">
        <f>IF(AL$9&lt;$F$7,(HLOOKUP(MONTH(AL$41),'Weather Calculation'!$H$68:$S$81,7,TRUE)),0)</f>
        <v>0.36142857142857138</v>
      </c>
      <c r="AM43" s="155">
        <f>IF(AM$9&lt;$F$7,(HLOOKUP(MONTH(AM$41),'Weather Calculation'!$H$68:$S$81,7,TRUE)),0)</f>
        <v>0.13354838709677422</v>
      </c>
      <c r="AN43" s="155">
        <f>IF(AN$9&lt;$F$7,(HLOOKUP(MONTH(AN$41),'Weather Calculation'!$H$68:$S$81,7,TRUE)),0)</f>
        <v>0</v>
      </c>
      <c r="AO43" s="155">
        <f>IF(AO$9&lt;$F$7,(HLOOKUP(MONTH(AO$41),'Weather Calculation'!$H$68:$S$81,7,TRUE)),0)</f>
        <v>0</v>
      </c>
      <c r="AP43" s="155">
        <f>IF(AP$9&lt;$F$7,(HLOOKUP(MONTH(AP$41),'Weather Calculation'!$H$68:$S$81,7,TRUE)),0)</f>
        <v>0</v>
      </c>
      <c r="AQ43" s="155">
        <f>IF(AQ$9&lt;$F$7,(HLOOKUP(MONTH(AQ$41),'Weather Calculation'!$H$68:$S$81,7,TRUE)),0)</f>
        <v>0</v>
      </c>
      <c r="AR43" s="155">
        <f>IF(AR$9&lt;$F$7,(HLOOKUP(MONTH(AR$41),'Weather Calculation'!$H$68:$S$81,7,TRUE)),0)</f>
        <v>0</v>
      </c>
      <c r="AS43" s="155">
        <f>IF(AS$9&lt;$F$7,(HLOOKUP(MONTH(AS$41),'Weather Calculation'!$H$68:$S$81,7,TRUE)),0)</f>
        <v>0</v>
      </c>
      <c r="AT43" s="155">
        <f>IF(AT$9&lt;$F$7,(HLOOKUP(MONTH(AT$41),'Weather Calculation'!$H$68:$S$81,7,TRUE)),0)</f>
        <v>0</v>
      </c>
      <c r="AU43" s="155">
        <f>IF(AU$9&lt;$F$7,(HLOOKUP(MONTH(AU$41),'Weather Calculation'!$H$68:$S$81,7,TRUE)),0)</f>
        <v>7.9999999999999988E-2</v>
      </c>
      <c r="AV43" s="155">
        <f>IF(AV$9&lt;$F$7,(HLOOKUP(MONTH(AV$41),'Weather Calculation'!$H$68:$S$81,7,TRUE)),0)</f>
        <v>0.16258064516129034</v>
      </c>
      <c r="AW43" s="155">
        <f>IF(AW$9&lt;$F$7,(HLOOKUP(MONTH(AW$41),'Weather Calculation'!$H$68:$S$81,7,TRUE)),0)</f>
        <v>0.38709677419354838</v>
      </c>
      <c r="AX43" s="155">
        <f>IF(AX$9&lt;$F$7,(HLOOKUP(MONTH(AX$41),'Weather Calculation'!$H$68:$S$81,7,TRUE)),0)</f>
        <v>0.36142857142857138</v>
      </c>
      <c r="AY43" s="155">
        <f>IF(AY$9&lt;$F$7,(HLOOKUP(MONTH(AY$41),'Weather Calculation'!$H$68:$S$81,7,TRUE)),0)</f>
        <v>0.13354838709677422</v>
      </c>
      <c r="AZ43" s="155">
        <f>IF(AZ$9&lt;$F$7,(HLOOKUP(MONTH(AZ$41),'Weather Calculation'!$H$68:$S$81,7,TRUE)),0)</f>
        <v>0</v>
      </c>
      <c r="BA43" s="155">
        <f>IF(BA$9&lt;$F$7,(HLOOKUP(MONTH(BA$41),'Weather Calculation'!$H$68:$S$81,7,TRUE)),0)</f>
        <v>0</v>
      </c>
      <c r="BB43" s="155">
        <f>IF(BB$9&lt;$F$7,(HLOOKUP(MONTH(BB$41),'Weather Calculation'!$H$68:$S$81,7,TRUE)),0)</f>
        <v>0</v>
      </c>
      <c r="BC43" s="155">
        <f>IF(BC$9&lt;$F$7,(HLOOKUP(MONTH(BC$41),'Weather Calculation'!$H$68:$S$81,7,TRUE)),0)</f>
        <v>0</v>
      </c>
      <c r="BD43" s="155">
        <f>IF(BD$9&lt;$F$7,(HLOOKUP(MONTH(BD$41),'Weather Calculation'!$H$68:$S$81,7,TRUE)),0)</f>
        <v>0</v>
      </c>
      <c r="BE43" s="155">
        <f>IF(BE$9&lt;$F$7,(HLOOKUP(MONTH(BE$41),'Weather Calculation'!$H$68:$S$81,7,TRUE)),0)</f>
        <v>0</v>
      </c>
      <c r="BF43" s="155">
        <f>IF(BF$9&lt;$F$7,(HLOOKUP(MONTH(BF$41),'Weather Calculation'!$H$68:$S$81,7,TRUE)),0)</f>
        <v>0</v>
      </c>
      <c r="BG43" s="155">
        <f>IF(BG$9&lt;$F$7,(HLOOKUP(MONTH(BG$41),'Weather Calculation'!$H$68:$S$81,7,TRUE)),0)</f>
        <v>0</v>
      </c>
      <c r="BH43" s="155">
        <f>IF(BH$9&lt;$F$7,(HLOOKUP(MONTH(BH$41),'Weather Calculation'!$H$68:$S$81,7,TRUE)),0)</f>
        <v>0</v>
      </c>
      <c r="BI43" s="155">
        <f>IF(BI$9&lt;$F$7,(HLOOKUP(MONTH(BI$41),'Weather Calculation'!$H$68:$S$81,7,TRUE)),0)</f>
        <v>0</v>
      </c>
      <c r="BJ43" s="155">
        <f>IF(BJ$9&lt;$F$7,(HLOOKUP(MONTH(BJ$41),'Weather Calculation'!$H$68:$S$81,7,TRUE)),0)</f>
        <v>0</v>
      </c>
      <c r="BK43" s="155">
        <f>IF(BK$9&lt;$F$7,(HLOOKUP(MONTH(BK$41),'Weather Calculation'!$H$68:$S$81,7,TRUE)),0)</f>
        <v>0</v>
      </c>
      <c r="BL43" s="155">
        <f>IF(BL$9&lt;$F$7,(HLOOKUP(MONTH(BL$41),'Weather Calculation'!$H$68:$S$81,7,TRUE)),0)</f>
        <v>0</v>
      </c>
      <c r="BM43" s="155">
        <f>IF(BM$9&lt;$F$7,(HLOOKUP(MONTH(BM$41),'Weather Calculation'!$H$68:$S$81,7,TRUE)),0)</f>
        <v>0</v>
      </c>
      <c r="BN43" s="155">
        <f>IF(BN$9&lt;$F$7,(HLOOKUP(MONTH(BN$41),'Weather Calculation'!$H$68:$S$81,7,TRUE)),0)</f>
        <v>0</v>
      </c>
      <c r="BO43" s="155">
        <f>IF(BO$9&lt;$F$7,(HLOOKUP(MONTH(BO$41),'Weather Calculation'!$H$68:$S$81,7,TRUE)),0)</f>
        <v>0</v>
      </c>
      <c r="BP43" s="155">
        <f>IF(BP$9&lt;$F$7,(HLOOKUP(MONTH(BP$41),'Weather Calculation'!$H$68:$S$81,7,TRUE)),0)</f>
        <v>0</v>
      </c>
      <c r="BQ43" s="155">
        <f>IF(BQ$9&lt;$F$7,(HLOOKUP(MONTH(BQ$41),'Weather Calculation'!$H$68:$S$81,7,TRUE)),0)</f>
        <v>0</v>
      </c>
      <c r="BR43" s="155">
        <f>IF(BR$9&lt;$F$7,(HLOOKUP(MONTH(BR$41),'Weather Calculation'!$H$68:$S$81,7,TRUE)),0)</f>
        <v>0</v>
      </c>
      <c r="BS43" s="155">
        <f>IF(BS$9&lt;$F$7,(HLOOKUP(MONTH(BS$41),'Weather Calculation'!$H$68:$S$81,7,TRUE)),0)</f>
        <v>0</v>
      </c>
      <c r="BT43" s="155">
        <f>IF(BT$9&lt;$F$7,(HLOOKUP(MONTH(BT$41),'Weather Calculation'!$H$68:$S$81,7,TRUE)),0)</f>
        <v>0</v>
      </c>
      <c r="BU43" s="155">
        <f>IF(BU$9&lt;$F$7,(HLOOKUP(MONTH(BU$41),'Weather Calculation'!$H$68:$S$81,7,TRUE)),0)</f>
        <v>0</v>
      </c>
      <c r="BV43" s="155">
        <f>IF(BV$9&lt;$F$7,(HLOOKUP(MONTH(BV$41),'Weather Calculation'!$H$68:$S$81,7,TRUE)),0)</f>
        <v>0</v>
      </c>
      <c r="BW43" s="155">
        <f>IF(BW$9&lt;$F$7,(HLOOKUP(MONTH(BW$41),'Weather Calculation'!$H$68:$S$81,7,TRUE)),0)</f>
        <v>0</v>
      </c>
      <c r="BX43" s="155">
        <f>IF(BX$9&lt;$F$7,(HLOOKUP(MONTH(BX$41),'Weather Calculation'!$H$68:$S$81,7,TRUE)),0)</f>
        <v>0</v>
      </c>
      <c r="BY43" s="155">
        <f>IF(BY$9&lt;$F$7,(HLOOKUP(MONTH(BY$41),'Weather Calculation'!$H$68:$S$81,7,TRUE)),0)</f>
        <v>0</v>
      </c>
      <c r="BZ43" s="155">
        <f>IF(BZ$9&lt;$F$7,(HLOOKUP(MONTH(BZ$41),'Weather Calculation'!$H$68:$S$81,7,TRUE)),0)</f>
        <v>0</v>
      </c>
      <c r="CA43" s="155">
        <f>IF(CA$9&lt;$F$7,(HLOOKUP(MONTH(CA$41),'Weather Calculation'!$H$68:$S$81,7,TRUE)),0)</f>
        <v>0</v>
      </c>
      <c r="CB43" s="155">
        <f>IF(CB$9&lt;$F$7,(HLOOKUP(MONTH(CB$41),'Weather Calculation'!$H$68:$S$81,7,TRUE)),0)</f>
        <v>0</v>
      </c>
      <c r="CC43" s="155">
        <f>IF(CC$9&lt;$F$7,(HLOOKUP(MONTH(CC$41),'Weather Calculation'!$H$68:$S$81,7,TRUE)),0)</f>
        <v>0</v>
      </c>
      <c r="CD43" s="155">
        <f>IF(CD$9&lt;$F$7,(HLOOKUP(MONTH(CD$41),'Weather Calculation'!$H$68:$S$81,7,TRUE)),0)</f>
        <v>0</v>
      </c>
      <c r="CE43" s="155">
        <f>IF(CE$9&lt;$F$7,(HLOOKUP(MONTH(CE$41),'Weather Calculation'!$H$68:$S$81,7,TRUE)),0)</f>
        <v>0</v>
      </c>
      <c r="CF43" s="155">
        <f>IF(CF$9&lt;$F$7,(HLOOKUP(MONTH(CF$41),'Weather Calculation'!$H$68:$S$81,7,TRUE)),0)</f>
        <v>0</v>
      </c>
      <c r="CG43" s="155">
        <f>IF(CG$9&lt;$F$7,(HLOOKUP(MONTH(CG$41),'Weather Calculation'!$H$68:$S$81,7,TRUE)),0)</f>
        <v>0</v>
      </c>
      <c r="CH43" s="155">
        <f>IF(CH$9&lt;$F$7,(HLOOKUP(MONTH(CH$41),'Weather Calculation'!$H$68:$S$81,7,TRUE)),0)</f>
        <v>0</v>
      </c>
      <c r="CI43" s="155">
        <f>IF(CI$9&lt;$F$7,(HLOOKUP(MONTH(CI$41),'Weather Calculation'!$H$68:$S$81,7,TRUE)),0)</f>
        <v>0</v>
      </c>
      <c r="CJ43" s="155">
        <f>IF(CJ$9&lt;$F$7,(HLOOKUP(MONTH(CJ$41),'Weather Calculation'!$H$68:$S$81,7,TRUE)),0)</f>
        <v>0</v>
      </c>
      <c r="CK43" s="155">
        <f>IF(CK$9&lt;$F$7,(HLOOKUP(MONTH(CK$41),'Weather Calculation'!$H$68:$S$81,7,TRUE)),0)</f>
        <v>0</v>
      </c>
      <c r="CL43" s="155">
        <f>IF(CL$9&lt;$F$7,(HLOOKUP(MONTH(CL$41),'Weather Calculation'!$H$68:$S$81,7,TRUE)),0)</f>
        <v>0</v>
      </c>
      <c r="CM43" s="155">
        <f>IF(CM$9&lt;$F$7,(HLOOKUP(MONTH(CM$41),'Weather Calculation'!$H$68:$S$81,7,TRUE)),0)</f>
        <v>0</v>
      </c>
      <c r="CN43" s="155">
        <f>IF(CN$9&lt;$F$7,(HLOOKUP(MONTH(CN$41),'Weather Calculation'!$H$68:$S$81,7,TRUE)),0)</f>
        <v>0</v>
      </c>
      <c r="CO43" s="155">
        <f>IF(CO$9&lt;$F$7,(HLOOKUP(MONTH(CO$41),'Weather Calculation'!$H$68:$S$81,7,TRUE)),0)</f>
        <v>0</v>
      </c>
      <c r="CP43" s="155">
        <f>IF(CP$9&lt;$F$7,(HLOOKUP(MONTH(CP$41),'Weather Calculation'!$H$68:$S$81,7,TRUE)),0)</f>
        <v>0</v>
      </c>
      <c r="CQ43" s="155">
        <f>IF(CQ$9&lt;$F$7,(HLOOKUP(MONTH(CQ$41),'Weather Calculation'!$H$68:$S$81,7,TRUE)),0)</f>
        <v>0</v>
      </c>
      <c r="CR43" s="155">
        <f>IF(CR$9&lt;$F$7,(HLOOKUP(MONTH(CR$41),'Weather Calculation'!$H$68:$S$81,7,TRUE)),0)</f>
        <v>0</v>
      </c>
      <c r="CS43" s="155">
        <f>IF(CS$9&lt;$F$7,(HLOOKUP(MONTH(CS$41),'Weather Calculation'!$H$68:$S$81,7,TRUE)),0)</f>
        <v>0</v>
      </c>
      <c r="CT43" s="155">
        <f>IF(CT$9&lt;$F$7,(HLOOKUP(MONTH(CT$41),'Weather Calculation'!$H$68:$S$81,7,TRUE)),0)</f>
        <v>0</v>
      </c>
      <c r="CU43" s="155">
        <f>IF(CU$9&lt;$F$7,(HLOOKUP(MONTH(CU$41),'Weather Calculation'!$H$68:$S$81,7,TRUE)),0)</f>
        <v>0</v>
      </c>
      <c r="CV43" s="155">
        <f>IF(CV$9&lt;$F$7,(HLOOKUP(MONTH(CV$41),'Weather Calculation'!$H$68:$S$81,7,TRUE)),0)</f>
        <v>0</v>
      </c>
      <c r="CW43" s="155">
        <f>IF(CW$9&lt;$F$7,(HLOOKUP(MONTH(CW$41),'Weather Calculation'!$H$68:$S$81,7,TRUE)),0)</f>
        <v>0</v>
      </c>
      <c r="CX43" s="155">
        <f>IF(CX$9&lt;$F$7,(HLOOKUP(MONTH(CX$41),'Weather Calculation'!$H$68:$S$81,7,TRUE)),0)</f>
        <v>0</v>
      </c>
      <c r="CY43" s="155">
        <f>IF(CY$9&lt;$F$7,(HLOOKUP(MONTH(CY$41),'Weather Calculation'!$H$68:$S$81,7,TRUE)),0)</f>
        <v>0</v>
      </c>
      <c r="CZ43" s="155">
        <f>IF(CZ$9&lt;$F$7,(HLOOKUP(MONTH(CZ$41),'Weather Calculation'!$H$68:$S$81,7,TRUE)),0)</f>
        <v>0</v>
      </c>
      <c r="DA43" s="1"/>
      <c r="DB43" s="284"/>
    </row>
    <row r="44" spans="1:106" x14ac:dyDescent="0.35">
      <c r="A44" s="381" t="s">
        <v>195</v>
      </c>
      <c r="B44" s="382"/>
      <c r="C44" s="135">
        <f>'Weather Calculation'!E6</f>
        <v>0.2</v>
      </c>
      <c r="D44" s="368">
        <f t="shared" si="21"/>
        <v>4.3895913978494621</v>
      </c>
      <c r="E44" s="369"/>
      <c r="F44" s="286"/>
      <c r="G44" s="126"/>
      <c r="H44" s="136"/>
      <c r="I44" s="155">
        <f>IF(I$9&lt;$F$7,(HLOOKUP(MONTH(I$41),'Weather Calculation'!$H$68:$S$81,8,TRUE)),0)</f>
        <v>0.10733333333333334</v>
      </c>
      <c r="J44" s="155">
        <f>IF(J$9&lt;$F$7,(HLOOKUP(MONTH(J$41),'Weather Calculation'!$H$68:$S$81,8,TRUE)),0)</f>
        <v>1.6774193548387099E-2</v>
      </c>
      <c r="K44" s="155">
        <f>IF(K$9&lt;$F$7,(HLOOKUP(MONTH(K$41),'Weather Calculation'!$H$68:$S$81,8,TRUE)),0)</f>
        <v>0</v>
      </c>
      <c r="L44" s="155">
        <f>IF(L$9&lt;$F$7,(HLOOKUP(MONTH(L$41),'Weather Calculation'!$H$68:$S$81,8,TRUE)),0)</f>
        <v>0</v>
      </c>
      <c r="M44" s="155">
        <f>IF(M$9&lt;$F$7,(HLOOKUP(MONTH(M$41),'Weather Calculation'!$H$68:$S$81,8,TRUE)),0)</f>
        <v>0</v>
      </c>
      <c r="N44" s="155">
        <f>IF(N$9&lt;$F$7,(HLOOKUP(MONTH(N$41),'Weather Calculation'!$H$68:$S$81,8,TRUE)),0)</f>
        <v>0</v>
      </c>
      <c r="O44" s="155">
        <f>IF(O$9&lt;$F$7,(HLOOKUP(MONTH(O$41),'Weather Calculation'!$H$68:$S$81,8,TRUE)),0)</f>
        <v>0</v>
      </c>
      <c r="P44" s="155">
        <f>IF(P$9&lt;$F$7,(HLOOKUP(MONTH(P$41),'Weather Calculation'!$H$68:$S$81,8,TRUE)),0)</f>
        <v>2.5333333333333336E-2</v>
      </c>
      <c r="Q44" s="155">
        <f>IF(Q$9&lt;$F$7,(HLOOKUP(MONTH(Q$41),'Weather Calculation'!$H$68:$S$81,8,TRUE)),0)</f>
        <v>0.1129032258064516</v>
      </c>
      <c r="R44" s="155">
        <f>IF(R$9&lt;$F$7,(HLOOKUP(MONTH(R$41),'Weather Calculation'!$H$68:$S$81,8,TRUE)),0)</f>
        <v>0.36399999999999999</v>
      </c>
      <c r="S44" s="155">
        <f>IF(S$9&lt;$F$7,(HLOOKUP(MONTH(S$41),'Weather Calculation'!$H$68:$S$81,8,TRUE)),0)</f>
        <v>0.532258064516129</v>
      </c>
      <c r="T44" s="155">
        <f>IF(T$9&lt;$F$7,(HLOOKUP(MONTH(T$41),'Weather Calculation'!$H$68:$S$81,8,TRUE)),0)</f>
        <v>0.26322580645161292</v>
      </c>
      <c r="U44" s="155">
        <f>IF(U$9&lt;$F$7,(HLOOKUP(MONTH(U$41),'Weather Calculation'!$H$68:$S$81,8,TRUE)),0)</f>
        <v>0.10733333333333334</v>
      </c>
      <c r="V44" s="155">
        <f>IF(V$9&lt;$F$7,(HLOOKUP(MONTH(V$41),'Weather Calculation'!$H$68:$S$81,8,TRUE)),0)</f>
        <v>1.6774193548387099E-2</v>
      </c>
      <c r="W44" s="155">
        <f>IF(W$9&lt;$F$7,(HLOOKUP(MONTH(W$41),'Weather Calculation'!$H$68:$S$81,8,TRUE)),0)</f>
        <v>0</v>
      </c>
      <c r="X44" s="155">
        <f>IF(X$9&lt;$F$7,(HLOOKUP(MONTH(X$41),'Weather Calculation'!$H$68:$S$81,8,TRUE)),0)</f>
        <v>0</v>
      </c>
      <c r="Y44" s="155">
        <f>IF(Y$9&lt;$F$7,(HLOOKUP(MONTH(Y$41),'Weather Calculation'!$H$68:$S$81,8,TRUE)),0)</f>
        <v>0</v>
      </c>
      <c r="Z44" s="155">
        <f>IF(Z$9&lt;$F$7,(HLOOKUP(MONTH(Z$41),'Weather Calculation'!$H$68:$S$81,8,TRUE)),0)</f>
        <v>0</v>
      </c>
      <c r="AA44" s="155">
        <f>IF(AA$9&lt;$F$7,(HLOOKUP(MONTH(AA$41),'Weather Calculation'!$H$68:$S$81,8,TRUE)),0)</f>
        <v>0</v>
      </c>
      <c r="AB44" s="155">
        <f>IF(AB$9&lt;$F$7,(HLOOKUP(MONTH(AB$41),'Weather Calculation'!$H$68:$S$81,8,TRUE)),0)</f>
        <v>2.5333333333333336E-2</v>
      </c>
      <c r="AC44" s="155">
        <f>IF(AC$9&lt;$F$7,(HLOOKUP(MONTH(AC$41),'Weather Calculation'!$H$68:$S$81,8,TRUE)),0)</f>
        <v>0.1129032258064516</v>
      </c>
      <c r="AD44" s="155">
        <f>IF(AD$9&lt;$F$7,(HLOOKUP(MONTH(AD$41),'Weather Calculation'!$H$68:$S$81,8,TRUE)),0)</f>
        <v>0.36399999999999999</v>
      </c>
      <c r="AE44" s="155">
        <f>IF(AE$9&lt;$F$7,(HLOOKUP(MONTH(AE$41),'Weather Calculation'!$H$68:$S$81,8,TRUE)),0)</f>
        <v>0.532258064516129</v>
      </c>
      <c r="AF44" s="155">
        <f>IF(AF$9&lt;$F$7,(HLOOKUP(MONTH(AF$41),'Weather Calculation'!$H$68:$S$81,8,TRUE)),0)</f>
        <v>0.26322580645161292</v>
      </c>
      <c r="AG44" s="155">
        <f>IF(AG$9&lt;$F$7,(HLOOKUP(MONTH(AG$41),'Weather Calculation'!$H$68:$S$81,8,TRUE)),0)</f>
        <v>0.10733333333333334</v>
      </c>
      <c r="AH44" s="155">
        <f>IF(AH$9&lt;$F$7,(HLOOKUP(MONTH(AH$41),'Weather Calculation'!$H$68:$S$81,8,TRUE)),0)</f>
        <v>1.6774193548387099E-2</v>
      </c>
      <c r="AI44" s="155">
        <f>IF(AI$9&lt;$F$7,(HLOOKUP(MONTH(AI$41),'Weather Calculation'!$H$68:$S$81,8,TRUE)),0)</f>
        <v>0</v>
      </c>
      <c r="AJ44" s="155">
        <f>IF(AJ$9&lt;$F$7,(HLOOKUP(MONTH(AJ$41),'Weather Calculation'!$H$68:$S$81,8,TRUE)),0)</f>
        <v>0</v>
      </c>
      <c r="AK44" s="155">
        <f>IF(AK$9&lt;$F$7,(HLOOKUP(MONTH(AK$41),'Weather Calculation'!$H$68:$S$81,8,TRUE)),0)</f>
        <v>0</v>
      </c>
      <c r="AL44" s="155">
        <f>IF(AL$9&lt;$F$7,(HLOOKUP(MONTH(AL$41),'Weather Calculation'!$H$68:$S$81,8,TRUE)),0)</f>
        <v>0</v>
      </c>
      <c r="AM44" s="155">
        <f>IF(AM$9&lt;$F$7,(HLOOKUP(MONTH(AM$41),'Weather Calculation'!$H$68:$S$81,8,TRUE)),0)</f>
        <v>0</v>
      </c>
      <c r="AN44" s="155">
        <f>IF(AN$9&lt;$F$7,(HLOOKUP(MONTH(AN$41),'Weather Calculation'!$H$68:$S$81,8,TRUE)),0)</f>
        <v>2.5333333333333336E-2</v>
      </c>
      <c r="AO44" s="155">
        <f>IF(AO$9&lt;$F$7,(HLOOKUP(MONTH(AO$41),'Weather Calculation'!$H$68:$S$81,8,TRUE)),0)</f>
        <v>0.1129032258064516</v>
      </c>
      <c r="AP44" s="155">
        <f>IF(AP$9&lt;$F$7,(HLOOKUP(MONTH(AP$41),'Weather Calculation'!$H$68:$S$81,8,TRUE)),0)</f>
        <v>0.36399999999999999</v>
      </c>
      <c r="AQ44" s="155">
        <f>IF(AQ$9&lt;$F$7,(HLOOKUP(MONTH(AQ$41),'Weather Calculation'!$H$68:$S$81,8,TRUE)),0)</f>
        <v>0.532258064516129</v>
      </c>
      <c r="AR44" s="155">
        <f>IF(AR$9&lt;$F$7,(HLOOKUP(MONTH(AR$41),'Weather Calculation'!$H$68:$S$81,8,TRUE)),0)</f>
        <v>0.26322580645161292</v>
      </c>
      <c r="AS44" s="155">
        <f>IF(AS$9&lt;$F$7,(HLOOKUP(MONTH(AS$41),'Weather Calculation'!$H$68:$S$81,8,TRUE)),0)</f>
        <v>0.10733333333333334</v>
      </c>
      <c r="AT44" s="155">
        <f>IF(AT$9&lt;$F$7,(HLOOKUP(MONTH(AT$41),'Weather Calculation'!$H$68:$S$81,8,TRUE)),0)</f>
        <v>1.6774193548387099E-2</v>
      </c>
      <c r="AU44" s="155">
        <f>IF(AU$9&lt;$F$7,(HLOOKUP(MONTH(AU$41),'Weather Calculation'!$H$68:$S$81,8,TRUE)),0)</f>
        <v>0</v>
      </c>
      <c r="AV44" s="155">
        <f>IF(AV$9&lt;$F$7,(HLOOKUP(MONTH(AV$41),'Weather Calculation'!$H$68:$S$81,8,TRUE)),0)</f>
        <v>0</v>
      </c>
      <c r="AW44" s="155">
        <f>IF(AW$9&lt;$F$7,(HLOOKUP(MONTH(AW$41),'Weather Calculation'!$H$68:$S$81,8,TRUE)),0)</f>
        <v>0</v>
      </c>
      <c r="AX44" s="155">
        <f>IF(AX$9&lt;$F$7,(HLOOKUP(MONTH(AX$41),'Weather Calculation'!$H$68:$S$81,8,TRUE)),0)</f>
        <v>0</v>
      </c>
      <c r="AY44" s="155">
        <f>IF(AY$9&lt;$F$7,(HLOOKUP(MONTH(AY$41),'Weather Calculation'!$H$68:$S$81,8,TRUE)),0)</f>
        <v>0</v>
      </c>
      <c r="AZ44" s="155">
        <f>IF(AZ$9&lt;$F$7,(HLOOKUP(MONTH(AZ$41),'Weather Calculation'!$H$68:$S$81,8,TRUE)),0)</f>
        <v>0</v>
      </c>
      <c r="BA44" s="155">
        <f>IF(BA$9&lt;$F$7,(HLOOKUP(MONTH(BA$41),'Weather Calculation'!$H$68:$S$81,8,TRUE)),0)</f>
        <v>0</v>
      </c>
      <c r="BB44" s="155">
        <f>IF(BB$9&lt;$F$7,(HLOOKUP(MONTH(BB$41),'Weather Calculation'!$H$68:$S$81,8,TRUE)),0)</f>
        <v>0</v>
      </c>
      <c r="BC44" s="155">
        <f>IF(BC$9&lt;$F$7,(HLOOKUP(MONTH(BC$41),'Weather Calculation'!$H$68:$S$81,8,TRUE)),0)</f>
        <v>0</v>
      </c>
      <c r="BD44" s="155">
        <f>IF(BD$9&lt;$F$7,(HLOOKUP(MONTH(BD$41),'Weather Calculation'!$H$68:$S$81,8,TRUE)),0)</f>
        <v>0</v>
      </c>
      <c r="BE44" s="155">
        <f>IF(BE$9&lt;$F$7,(HLOOKUP(MONTH(BE$41),'Weather Calculation'!$H$68:$S$81,8,TRUE)),0)</f>
        <v>0</v>
      </c>
      <c r="BF44" s="155">
        <f>IF(BF$9&lt;$F$7,(HLOOKUP(MONTH(BF$41),'Weather Calculation'!$H$68:$S$81,8,TRUE)),0)</f>
        <v>0</v>
      </c>
      <c r="BG44" s="155">
        <f>IF(BG$9&lt;$F$7,(HLOOKUP(MONTH(BG$41),'Weather Calculation'!$H$68:$S$81,8,TRUE)),0)</f>
        <v>0</v>
      </c>
      <c r="BH44" s="155">
        <f>IF(BH$9&lt;$F$7,(HLOOKUP(MONTH(BH$41),'Weather Calculation'!$H$68:$S$81,8,TRUE)),0)</f>
        <v>0</v>
      </c>
      <c r="BI44" s="155">
        <f>IF(BI$9&lt;$F$7,(HLOOKUP(MONTH(BI$41),'Weather Calculation'!$H$68:$S$81,8,TRUE)),0)</f>
        <v>0</v>
      </c>
      <c r="BJ44" s="155">
        <f>IF(BJ$9&lt;$F$7,(HLOOKUP(MONTH(BJ$41),'Weather Calculation'!$H$68:$S$81,8,TRUE)),0)</f>
        <v>0</v>
      </c>
      <c r="BK44" s="155">
        <f>IF(BK$9&lt;$F$7,(HLOOKUP(MONTH(BK$41),'Weather Calculation'!$H$68:$S$81,8,TRUE)),0)</f>
        <v>0</v>
      </c>
      <c r="BL44" s="155">
        <f>IF(BL$9&lt;$F$7,(HLOOKUP(MONTH(BL$41),'Weather Calculation'!$H$68:$S$81,8,TRUE)),0)</f>
        <v>0</v>
      </c>
      <c r="BM44" s="155">
        <f>IF(BM$9&lt;$F$7,(HLOOKUP(MONTH(BM$41),'Weather Calculation'!$H$68:$S$81,8,TRUE)),0)</f>
        <v>0</v>
      </c>
      <c r="BN44" s="155">
        <f>IF(BN$9&lt;$F$7,(HLOOKUP(MONTH(BN$41),'Weather Calculation'!$H$68:$S$81,8,TRUE)),0)</f>
        <v>0</v>
      </c>
      <c r="BO44" s="155">
        <f>IF(BO$9&lt;$F$7,(HLOOKUP(MONTH(BO$41),'Weather Calculation'!$H$68:$S$81,8,TRUE)),0)</f>
        <v>0</v>
      </c>
      <c r="BP44" s="155">
        <f>IF(BP$9&lt;$F$7,(HLOOKUP(MONTH(BP$41),'Weather Calculation'!$H$68:$S$81,8,TRUE)),0)</f>
        <v>0</v>
      </c>
      <c r="BQ44" s="155">
        <f>IF(BQ$9&lt;$F$7,(HLOOKUP(MONTH(BQ$41),'Weather Calculation'!$H$68:$S$81,8,TRUE)),0)</f>
        <v>0</v>
      </c>
      <c r="BR44" s="155">
        <f>IF(BR$9&lt;$F$7,(HLOOKUP(MONTH(BR$41),'Weather Calculation'!$H$68:$S$81,8,TRUE)),0)</f>
        <v>0</v>
      </c>
      <c r="BS44" s="155">
        <f>IF(BS$9&lt;$F$7,(HLOOKUP(MONTH(BS$41),'Weather Calculation'!$H$68:$S$81,8,TRUE)),0)</f>
        <v>0</v>
      </c>
      <c r="BT44" s="155">
        <f>IF(BT$9&lt;$F$7,(HLOOKUP(MONTH(BT$41),'Weather Calculation'!$H$68:$S$81,8,TRUE)),0)</f>
        <v>0</v>
      </c>
      <c r="BU44" s="155">
        <f>IF(BU$9&lt;$F$7,(HLOOKUP(MONTH(BU$41),'Weather Calculation'!$H$68:$S$81,8,TRUE)),0)</f>
        <v>0</v>
      </c>
      <c r="BV44" s="155">
        <f>IF(BV$9&lt;$F$7,(HLOOKUP(MONTH(BV$41),'Weather Calculation'!$H$68:$S$81,8,TRUE)),0)</f>
        <v>0</v>
      </c>
      <c r="BW44" s="155">
        <f>IF(BW$9&lt;$F$7,(HLOOKUP(MONTH(BW$41),'Weather Calculation'!$H$68:$S$81,8,TRUE)),0)</f>
        <v>0</v>
      </c>
      <c r="BX44" s="155">
        <f>IF(BX$9&lt;$F$7,(HLOOKUP(MONTH(BX$41),'Weather Calculation'!$H$68:$S$81,8,TRUE)),0)</f>
        <v>0</v>
      </c>
      <c r="BY44" s="155">
        <f>IF(BY$9&lt;$F$7,(HLOOKUP(MONTH(BY$41),'Weather Calculation'!$H$68:$S$81,8,TRUE)),0)</f>
        <v>0</v>
      </c>
      <c r="BZ44" s="155">
        <f>IF(BZ$9&lt;$F$7,(HLOOKUP(MONTH(BZ$41),'Weather Calculation'!$H$68:$S$81,8,TRUE)),0)</f>
        <v>0</v>
      </c>
      <c r="CA44" s="155">
        <f>IF(CA$9&lt;$F$7,(HLOOKUP(MONTH(CA$41),'Weather Calculation'!$H$68:$S$81,8,TRUE)),0)</f>
        <v>0</v>
      </c>
      <c r="CB44" s="155">
        <f>IF(CB$9&lt;$F$7,(HLOOKUP(MONTH(CB$41),'Weather Calculation'!$H$68:$S$81,8,TRUE)),0)</f>
        <v>0</v>
      </c>
      <c r="CC44" s="155">
        <f>IF(CC$9&lt;$F$7,(HLOOKUP(MONTH(CC$41),'Weather Calculation'!$H$68:$S$81,8,TRUE)),0)</f>
        <v>0</v>
      </c>
      <c r="CD44" s="155">
        <f>IF(CD$9&lt;$F$7,(HLOOKUP(MONTH(CD$41),'Weather Calculation'!$H$68:$S$81,8,TRUE)),0)</f>
        <v>0</v>
      </c>
      <c r="CE44" s="155">
        <f>IF(CE$9&lt;$F$7,(HLOOKUP(MONTH(CE$41),'Weather Calculation'!$H$68:$S$81,8,TRUE)),0)</f>
        <v>0</v>
      </c>
      <c r="CF44" s="155">
        <f>IF(CF$9&lt;$F$7,(HLOOKUP(MONTH(CF$41),'Weather Calculation'!$H$68:$S$81,8,TRUE)),0)</f>
        <v>0</v>
      </c>
      <c r="CG44" s="155">
        <f>IF(CG$9&lt;$F$7,(HLOOKUP(MONTH(CG$41),'Weather Calculation'!$H$68:$S$81,8,TRUE)),0)</f>
        <v>0</v>
      </c>
      <c r="CH44" s="155">
        <f>IF(CH$9&lt;$F$7,(HLOOKUP(MONTH(CH$41),'Weather Calculation'!$H$68:$S$81,8,TRUE)),0)</f>
        <v>0</v>
      </c>
      <c r="CI44" s="155">
        <f>IF(CI$9&lt;$F$7,(HLOOKUP(MONTH(CI$41),'Weather Calculation'!$H$68:$S$81,8,TRUE)),0)</f>
        <v>0</v>
      </c>
      <c r="CJ44" s="155">
        <f>IF(CJ$9&lt;$F$7,(HLOOKUP(MONTH(CJ$41),'Weather Calculation'!$H$68:$S$81,8,TRUE)),0)</f>
        <v>0</v>
      </c>
      <c r="CK44" s="155">
        <f>IF(CK$9&lt;$F$7,(HLOOKUP(MONTH(CK$41),'Weather Calculation'!$H$68:$S$81,8,TRUE)),0)</f>
        <v>0</v>
      </c>
      <c r="CL44" s="155">
        <f>IF(CL$9&lt;$F$7,(HLOOKUP(MONTH(CL$41),'Weather Calculation'!$H$68:$S$81,8,TRUE)),0)</f>
        <v>0</v>
      </c>
      <c r="CM44" s="155">
        <f>IF(CM$9&lt;$F$7,(HLOOKUP(MONTH(CM$41),'Weather Calculation'!$H$68:$S$81,8,TRUE)),0)</f>
        <v>0</v>
      </c>
      <c r="CN44" s="155">
        <f>IF(CN$9&lt;$F$7,(HLOOKUP(MONTH(CN$41),'Weather Calculation'!$H$68:$S$81,8,TRUE)),0)</f>
        <v>0</v>
      </c>
      <c r="CO44" s="155">
        <f>IF(CO$9&lt;$F$7,(HLOOKUP(MONTH(CO$41),'Weather Calculation'!$H$68:$S$81,8,TRUE)),0)</f>
        <v>0</v>
      </c>
      <c r="CP44" s="155">
        <f>IF(CP$9&lt;$F$7,(HLOOKUP(MONTH(CP$41),'Weather Calculation'!$H$68:$S$81,8,TRUE)),0)</f>
        <v>0</v>
      </c>
      <c r="CQ44" s="155">
        <f>IF(CQ$9&lt;$F$7,(HLOOKUP(MONTH(CQ$41),'Weather Calculation'!$H$68:$S$81,8,TRUE)),0)</f>
        <v>0</v>
      </c>
      <c r="CR44" s="155">
        <f>IF(CR$9&lt;$F$7,(HLOOKUP(MONTH(CR$41),'Weather Calculation'!$H$68:$S$81,8,TRUE)),0)</f>
        <v>0</v>
      </c>
      <c r="CS44" s="155">
        <f>IF(CS$9&lt;$F$7,(HLOOKUP(MONTH(CS$41),'Weather Calculation'!$H$68:$S$81,8,TRUE)),0)</f>
        <v>0</v>
      </c>
      <c r="CT44" s="155">
        <f>IF(CT$9&lt;$F$7,(HLOOKUP(MONTH(CT$41),'Weather Calculation'!$H$68:$S$81,8,TRUE)),0)</f>
        <v>0</v>
      </c>
      <c r="CU44" s="155">
        <f>IF(CU$9&lt;$F$7,(HLOOKUP(MONTH(CU$41),'Weather Calculation'!$H$68:$S$81,8,TRUE)),0)</f>
        <v>0</v>
      </c>
      <c r="CV44" s="155">
        <f>IF(CV$9&lt;$F$7,(HLOOKUP(MONTH(CV$41),'Weather Calculation'!$H$68:$S$81,8,TRUE)),0)</f>
        <v>0</v>
      </c>
      <c r="CW44" s="155">
        <f>IF(CW$9&lt;$F$7,(HLOOKUP(MONTH(CW$41),'Weather Calculation'!$H$68:$S$81,8,TRUE)),0)</f>
        <v>0</v>
      </c>
      <c r="CX44" s="155">
        <f>IF(CX$9&lt;$F$7,(HLOOKUP(MONTH(CX$41),'Weather Calculation'!$H$68:$S$81,8,TRUE)),0)</f>
        <v>0</v>
      </c>
      <c r="CY44" s="155">
        <f>IF(CY$9&lt;$F$7,(HLOOKUP(MONTH(CY$41),'Weather Calculation'!$H$68:$S$81,8,TRUE)),0)</f>
        <v>0</v>
      </c>
      <c r="CZ44" s="155">
        <f>IF(CZ$9&lt;$F$7,(HLOOKUP(MONTH(CZ$41),'Weather Calculation'!$H$68:$S$81,8,TRUE)),0)</f>
        <v>0</v>
      </c>
      <c r="DA44" s="1"/>
      <c r="DB44" s="284"/>
    </row>
    <row r="45" spans="1:106" ht="15" customHeight="1" x14ac:dyDescent="0.35">
      <c r="A45" s="366" t="s">
        <v>23</v>
      </c>
      <c r="B45" s="367"/>
      <c r="C45" s="367"/>
      <c r="D45" s="368">
        <f t="shared" si="21"/>
        <v>8</v>
      </c>
      <c r="E45" s="369"/>
      <c r="F45" s="286"/>
      <c r="G45" s="126"/>
      <c r="H45" s="136"/>
      <c r="I45" s="155">
        <f>IF(I$9&lt;$F$7,(HLOOKUP(MONTH(I$41),'Weather Calculation'!$H$68:$S$81,9,TRUE)),0)</f>
        <v>0</v>
      </c>
      <c r="J45" s="155">
        <f>IF(J$9&lt;$F$7,(HLOOKUP(MONTH(J$41),'Weather Calculation'!$H$68:$S$81,9,TRUE)),0)</f>
        <v>0.5</v>
      </c>
      <c r="K45" s="155">
        <f>IF(K$9&lt;$F$7,(HLOOKUP(MONTH(K$41),'Weather Calculation'!$H$68:$S$81,9,TRUE)),0)</f>
        <v>0.5</v>
      </c>
      <c r="L45" s="155">
        <f>IF(L$9&lt;$F$7,(HLOOKUP(MONTH(L$41),'Weather Calculation'!$H$68:$S$81,9,TRUE)),0)</f>
        <v>0.5</v>
      </c>
      <c r="M45" s="155">
        <f>IF(M$9&lt;$F$7,(HLOOKUP(MONTH(M$41),'Weather Calculation'!$H$68:$S$81,9,TRUE)),0)</f>
        <v>0.5</v>
      </c>
      <c r="N45" s="155">
        <f>IF(N$9&lt;$F$7,(HLOOKUP(MONTH(N$41),'Weather Calculation'!$H$68:$S$81,9,TRUE)),0)</f>
        <v>0</v>
      </c>
      <c r="O45" s="155">
        <f>IF(O$9&lt;$F$7,(HLOOKUP(MONTH(O$41),'Weather Calculation'!$H$68:$S$81,9,TRUE)),0)</f>
        <v>0</v>
      </c>
      <c r="P45" s="155">
        <f>IF(P$9&lt;$F$7,(HLOOKUP(MONTH(P$41),'Weather Calculation'!$H$68:$S$81,9,TRUE)),0)</f>
        <v>0</v>
      </c>
      <c r="Q45" s="155">
        <f>IF(Q$9&lt;$F$7,(HLOOKUP(MONTH(Q$41),'Weather Calculation'!$H$68:$S$81,9,TRUE)),0)</f>
        <v>0</v>
      </c>
      <c r="R45" s="155">
        <f>IF(R$9&lt;$F$7,(HLOOKUP(MONTH(R$41),'Weather Calculation'!$H$68:$S$81,9,TRUE)),0)</f>
        <v>0</v>
      </c>
      <c r="S45" s="155">
        <f>IF(S$9&lt;$F$7,(HLOOKUP(MONTH(S$41),'Weather Calculation'!$H$68:$S$81,9,TRUE)),0)</f>
        <v>0</v>
      </c>
      <c r="T45" s="155">
        <f>IF(T$9&lt;$F$7,(HLOOKUP(MONTH(T$41),'Weather Calculation'!$H$68:$S$81,9,TRUE)),0)</f>
        <v>0</v>
      </c>
      <c r="U45" s="155">
        <f>IF(U$9&lt;$F$7,(HLOOKUP(MONTH(U$41),'Weather Calculation'!$H$68:$S$81,9,TRUE)),0)</f>
        <v>0</v>
      </c>
      <c r="V45" s="155">
        <f>IF(V$9&lt;$F$7,(HLOOKUP(MONTH(V$41),'Weather Calculation'!$H$68:$S$81,9,TRUE)),0)</f>
        <v>0.5</v>
      </c>
      <c r="W45" s="155">
        <f>IF(W$9&lt;$F$7,(HLOOKUP(MONTH(W$41),'Weather Calculation'!$H$68:$S$81,9,TRUE)),0)</f>
        <v>0.5</v>
      </c>
      <c r="X45" s="155">
        <f>IF(X$9&lt;$F$7,(HLOOKUP(MONTH(X$41),'Weather Calculation'!$H$68:$S$81,9,TRUE)),0)</f>
        <v>0.5</v>
      </c>
      <c r="Y45" s="155">
        <f>IF(Y$9&lt;$F$7,(HLOOKUP(MONTH(Y$41),'Weather Calculation'!$H$68:$S$81,9,TRUE)),0)</f>
        <v>0.5</v>
      </c>
      <c r="Z45" s="155">
        <f>IF(Z$9&lt;$F$7,(HLOOKUP(MONTH(Z$41),'Weather Calculation'!$H$68:$S$81,9,TRUE)),0)</f>
        <v>0</v>
      </c>
      <c r="AA45" s="155">
        <f>IF(AA$9&lt;$F$7,(HLOOKUP(MONTH(AA$41),'Weather Calculation'!$H$68:$S$81,9,TRUE)),0)</f>
        <v>0</v>
      </c>
      <c r="AB45" s="155">
        <f>IF(AB$9&lt;$F$7,(HLOOKUP(MONTH(AB$41),'Weather Calculation'!$H$68:$S$81,9,TRUE)),0)</f>
        <v>0</v>
      </c>
      <c r="AC45" s="155">
        <f>IF(AC$9&lt;$F$7,(HLOOKUP(MONTH(AC$41),'Weather Calculation'!$H$68:$S$81,9,TRUE)),0)</f>
        <v>0</v>
      </c>
      <c r="AD45" s="155">
        <f>IF(AD$9&lt;$F$7,(HLOOKUP(MONTH(AD$41),'Weather Calculation'!$H$68:$S$81,9,TRUE)),0)</f>
        <v>0</v>
      </c>
      <c r="AE45" s="155">
        <f>IF(AE$9&lt;$F$7,(HLOOKUP(MONTH(AE$41),'Weather Calculation'!$H$68:$S$81,9,TRUE)),0)</f>
        <v>0</v>
      </c>
      <c r="AF45" s="155">
        <f>IF(AF$9&lt;$F$7,(HLOOKUP(MONTH(AF$41),'Weather Calculation'!$H$68:$S$81,9,TRUE)),0)</f>
        <v>0</v>
      </c>
      <c r="AG45" s="155">
        <f>IF(AG$9&lt;$F$7,(HLOOKUP(MONTH(AG$41),'Weather Calculation'!$H$68:$S$81,9,TRUE)),0)</f>
        <v>0</v>
      </c>
      <c r="AH45" s="155">
        <f>IF(AH$9&lt;$F$7,(HLOOKUP(MONTH(AH$41),'Weather Calculation'!$H$68:$S$81,9,TRUE)),0)</f>
        <v>0.5</v>
      </c>
      <c r="AI45" s="155">
        <f>IF(AI$9&lt;$F$7,(HLOOKUP(MONTH(AI$41),'Weather Calculation'!$H$68:$S$81,9,TRUE)),0)</f>
        <v>0.5</v>
      </c>
      <c r="AJ45" s="155">
        <f>IF(AJ$9&lt;$F$7,(HLOOKUP(MONTH(AJ$41),'Weather Calculation'!$H$68:$S$81,9,TRUE)),0)</f>
        <v>0.5</v>
      </c>
      <c r="AK45" s="155">
        <f>IF(AK$9&lt;$F$7,(HLOOKUP(MONTH(AK$41),'Weather Calculation'!$H$68:$S$81,9,TRUE)),0)</f>
        <v>0.5</v>
      </c>
      <c r="AL45" s="155">
        <f>IF(AL$9&lt;$F$7,(HLOOKUP(MONTH(AL$41),'Weather Calculation'!$H$68:$S$81,9,TRUE)),0)</f>
        <v>0</v>
      </c>
      <c r="AM45" s="155">
        <f>IF(AM$9&lt;$F$7,(HLOOKUP(MONTH(AM$41),'Weather Calculation'!$H$68:$S$81,9,TRUE)),0)</f>
        <v>0</v>
      </c>
      <c r="AN45" s="155">
        <f>IF(AN$9&lt;$F$7,(HLOOKUP(MONTH(AN$41),'Weather Calculation'!$H$68:$S$81,9,TRUE)),0)</f>
        <v>0</v>
      </c>
      <c r="AO45" s="155">
        <f>IF(AO$9&lt;$F$7,(HLOOKUP(MONTH(AO$41),'Weather Calculation'!$H$68:$S$81,9,TRUE)),0)</f>
        <v>0</v>
      </c>
      <c r="AP45" s="155">
        <f>IF(AP$9&lt;$F$7,(HLOOKUP(MONTH(AP$41),'Weather Calculation'!$H$68:$S$81,9,TRUE)),0)</f>
        <v>0</v>
      </c>
      <c r="AQ45" s="155">
        <f>IF(AQ$9&lt;$F$7,(HLOOKUP(MONTH(AQ$41),'Weather Calculation'!$H$68:$S$81,9,TRUE)),0)</f>
        <v>0</v>
      </c>
      <c r="AR45" s="155">
        <f>IF(AR$9&lt;$F$7,(HLOOKUP(MONTH(AR$41),'Weather Calculation'!$H$68:$S$81,9,TRUE)),0)</f>
        <v>0</v>
      </c>
      <c r="AS45" s="155">
        <f>IF(AS$9&lt;$F$7,(HLOOKUP(MONTH(AS$41),'Weather Calculation'!$H$68:$S$81,9,TRUE)),0)</f>
        <v>0</v>
      </c>
      <c r="AT45" s="155">
        <f>IF(AT$9&lt;$F$7,(HLOOKUP(MONTH(AT$41),'Weather Calculation'!$H$68:$S$81,9,TRUE)),0)</f>
        <v>0.5</v>
      </c>
      <c r="AU45" s="155">
        <f>IF(AU$9&lt;$F$7,(HLOOKUP(MONTH(AU$41),'Weather Calculation'!$H$68:$S$81,9,TRUE)),0)</f>
        <v>0.5</v>
      </c>
      <c r="AV45" s="155">
        <f>IF(AV$9&lt;$F$7,(HLOOKUP(MONTH(AV$41),'Weather Calculation'!$H$68:$S$81,9,TRUE)),0)</f>
        <v>0.5</v>
      </c>
      <c r="AW45" s="155">
        <f>IF(AW$9&lt;$F$7,(HLOOKUP(MONTH(AW$41),'Weather Calculation'!$H$68:$S$81,9,TRUE)),0)</f>
        <v>0.5</v>
      </c>
      <c r="AX45" s="155">
        <f>IF(AX$9&lt;$F$7,(HLOOKUP(MONTH(AX$41),'Weather Calculation'!$H$68:$S$81,9,TRUE)),0)</f>
        <v>0</v>
      </c>
      <c r="AY45" s="155">
        <f>IF(AY$9&lt;$F$7,(HLOOKUP(MONTH(AY$41),'Weather Calculation'!$H$68:$S$81,9,TRUE)),0)</f>
        <v>0</v>
      </c>
      <c r="AZ45" s="155">
        <f>IF(AZ$9&lt;$F$7,(HLOOKUP(MONTH(AZ$41),'Weather Calculation'!$H$68:$S$81,9,TRUE)),0)</f>
        <v>0</v>
      </c>
      <c r="BA45" s="155">
        <f>IF(BA$9&lt;$F$7,(HLOOKUP(MONTH(BA$41),'Weather Calculation'!$H$68:$S$81,9,TRUE)),0)</f>
        <v>0</v>
      </c>
      <c r="BB45" s="155">
        <f>IF(BB$9&lt;$F$7,(HLOOKUP(MONTH(BB$41),'Weather Calculation'!$H$68:$S$81,9,TRUE)),0)</f>
        <v>0</v>
      </c>
      <c r="BC45" s="155">
        <f>IF(BC$9&lt;$F$7,(HLOOKUP(MONTH(BC$41),'Weather Calculation'!$H$68:$S$81,9,TRUE)),0)</f>
        <v>0</v>
      </c>
      <c r="BD45" s="155">
        <f>IF(BD$9&lt;$F$7,(HLOOKUP(MONTH(BD$41),'Weather Calculation'!$H$68:$S$81,9,TRUE)),0)</f>
        <v>0</v>
      </c>
      <c r="BE45" s="155">
        <f>IF(BE$9&lt;$F$7,(HLOOKUP(MONTH(BE$41),'Weather Calculation'!$H$68:$S$81,9,TRUE)),0)</f>
        <v>0</v>
      </c>
      <c r="BF45" s="155">
        <f>IF(BF$9&lt;$F$7,(HLOOKUP(MONTH(BF$41),'Weather Calculation'!$H$68:$S$81,9,TRUE)),0)</f>
        <v>0</v>
      </c>
      <c r="BG45" s="155">
        <f>IF(BG$9&lt;$F$7,(HLOOKUP(MONTH(BG$41),'Weather Calculation'!$H$68:$S$81,9,TRUE)),0)</f>
        <v>0</v>
      </c>
      <c r="BH45" s="155">
        <f>IF(BH$9&lt;$F$7,(HLOOKUP(MONTH(BH$41),'Weather Calculation'!$H$68:$S$81,9,TRUE)),0)</f>
        <v>0</v>
      </c>
      <c r="BI45" s="155">
        <f>IF(BI$9&lt;$F$7,(HLOOKUP(MONTH(BI$41),'Weather Calculation'!$H$68:$S$81,9,TRUE)),0)</f>
        <v>0</v>
      </c>
      <c r="BJ45" s="155">
        <f>IF(BJ$9&lt;$F$7,(HLOOKUP(MONTH(BJ$41),'Weather Calculation'!$H$68:$S$81,9,TRUE)),0)</f>
        <v>0</v>
      </c>
      <c r="BK45" s="155">
        <f>IF(BK$9&lt;$F$7,(HLOOKUP(MONTH(BK$41),'Weather Calculation'!$H$68:$S$81,9,TRUE)),0)</f>
        <v>0</v>
      </c>
      <c r="BL45" s="155">
        <f>IF(BL$9&lt;$F$7,(HLOOKUP(MONTH(BL$41),'Weather Calculation'!$H$68:$S$81,9,TRUE)),0)</f>
        <v>0</v>
      </c>
      <c r="BM45" s="155">
        <f>IF(BM$9&lt;$F$7,(HLOOKUP(MONTH(BM$41),'Weather Calculation'!$H$68:$S$81,9,TRUE)),0)</f>
        <v>0</v>
      </c>
      <c r="BN45" s="155">
        <f>IF(BN$9&lt;$F$7,(HLOOKUP(MONTH(BN$41),'Weather Calculation'!$H$68:$S$81,9,TRUE)),0)</f>
        <v>0</v>
      </c>
      <c r="BO45" s="155">
        <f>IF(BO$9&lt;$F$7,(HLOOKUP(MONTH(BO$41),'Weather Calculation'!$H$68:$S$81,9,TRUE)),0)</f>
        <v>0</v>
      </c>
      <c r="BP45" s="155">
        <f>IF(BP$9&lt;$F$7,(HLOOKUP(MONTH(BP$41),'Weather Calculation'!$H$68:$S$81,9,TRUE)),0)</f>
        <v>0</v>
      </c>
      <c r="BQ45" s="155">
        <f>IF(BQ$9&lt;$F$7,(HLOOKUP(MONTH(BQ$41),'Weather Calculation'!$H$68:$S$81,9,TRUE)),0)</f>
        <v>0</v>
      </c>
      <c r="BR45" s="155">
        <f>IF(BR$9&lt;$F$7,(HLOOKUP(MONTH(BR$41),'Weather Calculation'!$H$68:$S$81,9,TRUE)),0)</f>
        <v>0</v>
      </c>
      <c r="BS45" s="155">
        <f>IF(BS$9&lt;$F$7,(HLOOKUP(MONTH(BS$41),'Weather Calculation'!$H$68:$S$81,9,TRUE)),0)</f>
        <v>0</v>
      </c>
      <c r="BT45" s="155">
        <f>IF(BT$9&lt;$F$7,(HLOOKUP(MONTH(BT$41),'Weather Calculation'!$H$68:$S$81,9,TRUE)),0)</f>
        <v>0</v>
      </c>
      <c r="BU45" s="155">
        <f>IF(BU$9&lt;$F$7,(HLOOKUP(MONTH(BU$41),'Weather Calculation'!$H$68:$S$81,9,TRUE)),0)</f>
        <v>0</v>
      </c>
      <c r="BV45" s="155">
        <f>IF(BV$9&lt;$F$7,(HLOOKUP(MONTH(BV$41),'Weather Calculation'!$H$68:$S$81,9,TRUE)),0)</f>
        <v>0</v>
      </c>
      <c r="BW45" s="155">
        <f>IF(BW$9&lt;$F$7,(HLOOKUP(MONTH(BW$41),'Weather Calculation'!$H$68:$S$81,9,TRUE)),0)</f>
        <v>0</v>
      </c>
      <c r="BX45" s="155">
        <f>IF(BX$9&lt;$F$7,(HLOOKUP(MONTH(BX$41),'Weather Calculation'!$H$68:$S$81,9,TRUE)),0)</f>
        <v>0</v>
      </c>
      <c r="BY45" s="155">
        <f>IF(BY$9&lt;$F$7,(HLOOKUP(MONTH(BY$41),'Weather Calculation'!$H$68:$S$81,9,TRUE)),0)</f>
        <v>0</v>
      </c>
      <c r="BZ45" s="155">
        <f>IF(BZ$9&lt;$F$7,(HLOOKUP(MONTH(BZ$41),'Weather Calculation'!$H$68:$S$81,9,TRUE)),0)</f>
        <v>0</v>
      </c>
      <c r="CA45" s="155">
        <f>IF(CA$9&lt;$F$7,(HLOOKUP(MONTH(CA$41),'Weather Calculation'!$H$68:$S$81,9,TRUE)),0)</f>
        <v>0</v>
      </c>
      <c r="CB45" s="155">
        <f>IF(CB$9&lt;$F$7,(HLOOKUP(MONTH(CB$41),'Weather Calculation'!$H$68:$S$81,9,TRUE)),0)</f>
        <v>0</v>
      </c>
      <c r="CC45" s="155">
        <f>IF(CC$9&lt;$F$7,(HLOOKUP(MONTH(CC$41),'Weather Calculation'!$H$68:$S$81,9,TRUE)),0)</f>
        <v>0</v>
      </c>
      <c r="CD45" s="155">
        <f>IF(CD$9&lt;$F$7,(HLOOKUP(MONTH(CD$41),'Weather Calculation'!$H$68:$S$81,9,TRUE)),0)</f>
        <v>0</v>
      </c>
      <c r="CE45" s="155">
        <f>IF(CE$9&lt;$F$7,(HLOOKUP(MONTH(CE$41),'Weather Calculation'!$H$68:$S$81,9,TRUE)),0)</f>
        <v>0</v>
      </c>
      <c r="CF45" s="155">
        <f>IF(CF$9&lt;$F$7,(HLOOKUP(MONTH(CF$41),'Weather Calculation'!$H$68:$S$81,9,TRUE)),0)</f>
        <v>0</v>
      </c>
      <c r="CG45" s="155">
        <f>IF(CG$9&lt;$F$7,(HLOOKUP(MONTH(CG$41),'Weather Calculation'!$H$68:$S$81,9,TRUE)),0)</f>
        <v>0</v>
      </c>
      <c r="CH45" s="155">
        <f>IF(CH$9&lt;$F$7,(HLOOKUP(MONTH(CH$41),'Weather Calculation'!$H$68:$S$81,9,TRUE)),0)</f>
        <v>0</v>
      </c>
      <c r="CI45" s="155">
        <f>IF(CI$9&lt;$F$7,(HLOOKUP(MONTH(CI$41),'Weather Calculation'!$H$68:$S$81,9,TRUE)),0)</f>
        <v>0</v>
      </c>
      <c r="CJ45" s="155">
        <f>IF(CJ$9&lt;$F$7,(HLOOKUP(MONTH(CJ$41),'Weather Calculation'!$H$68:$S$81,9,TRUE)),0)</f>
        <v>0</v>
      </c>
      <c r="CK45" s="155">
        <f>IF(CK$9&lt;$F$7,(HLOOKUP(MONTH(CK$41),'Weather Calculation'!$H$68:$S$81,9,TRUE)),0)</f>
        <v>0</v>
      </c>
      <c r="CL45" s="155">
        <f>IF(CL$9&lt;$F$7,(HLOOKUP(MONTH(CL$41),'Weather Calculation'!$H$68:$S$81,9,TRUE)),0)</f>
        <v>0</v>
      </c>
      <c r="CM45" s="155">
        <f>IF(CM$9&lt;$F$7,(HLOOKUP(MONTH(CM$41),'Weather Calculation'!$H$68:$S$81,9,TRUE)),0)</f>
        <v>0</v>
      </c>
      <c r="CN45" s="155">
        <f>IF(CN$9&lt;$F$7,(HLOOKUP(MONTH(CN$41),'Weather Calculation'!$H$68:$S$81,9,TRUE)),0)</f>
        <v>0</v>
      </c>
      <c r="CO45" s="155">
        <f>IF(CO$9&lt;$F$7,(HLOOKUP(MONTH(CO$41),'Weather Calculation'!$H$68:$S$81,9,TRUE)),0)</f>
        <v>0</v>
      </c>
      <c r="CP45" s="155">
        <f>IF(CP$9&lt;$F$7,(HLOOKUP(MONTH(CP$41),'Weather Calculation'!$H$68:$S$81,9,TRUE)),0)</f>
        <v>0</v>
      </c>
      <c r="CQ45" s="155">
        <f>IF(CQ$9&lt;$F$7,(HLOOKUP(MONTH(CQ$41),'Weather Calculation'!$H$68:$S$81,9,TRUE)),0)</f>
        <v>0</v>
      </c>
      <c r="CR45" s="155">
        <f>IF(CR$9&lt;$F$7,(HLOOKUP(MONTH(CR$41),'Weather Calculation'!$H$68:$S$81,9,TRUE)),0)</f>
        <v>0</v>
      </c>
      <c r="CS45" s="155">
        <f>IF(CS$9&lt;$F$7,(HLOOKUP(MONTH(CS$41),'Weather Calculation'!$H$68:$S$81,9,TRUE)),0)</f>
        <v>0</v>
      </c>
      <c r="CT45" s="155">
        <f>IF(CT$9&lt;$F$7,(HLOOKUP(MONTH(CT$41),'Weather Calculation'!$H$68:$S$81,9,TRUE)),0)</f>
        <v>0</v>
      </c>
      <c r="CU45" s="155">
        <f>IF(CU$9&lt;$F$7,(HLOOKUP(MONTH(CU$41),'Weather Calculation'!$H$68:$S$81,9,TRUE)),0)</f>
        <v>0</v>
      </c>
      <c r="CV45" s="155">
        <f>IF(CV$9&lt;$F$7,(HLOOKUP(MONTH(CV$41),'Weather Calculation'!$H$68:$S$81,9,TRUE)),0)</f>
        <v>0</v>
      </c>
      <c r="CW45" s="155">
        <f>IF(CW$9&lt;$F$7,(HLOOKUP(MONTH(CW$41),'Weather Calculation'!$H$68:$S$81,9,TRUE)),0)</f>
        <v>0</v>
      </c>
      <c r="CX45" s="155">
        <f>IF(CX$9&lt;$F$7,(HLOOKUP(MONTH(CX$41),'Weather Calculation'!$H$68:$S$81,9,TRUE)),0)</f>
        <v>0</v>
      </c>
      <c r="CY45" s="155">
        <f>IF(CY$9&lt;$F$7,(HLOOKUP(MONTH(CY$41),'Weather Calculation'!$H$68:$S$81,9,TRUE)),0)</f>
        <v>0</v>
      </c>
      <c r="CZ45" s="155">
        <f>IF(CZ$9&lt;$F$7,(HLOOKUP(MONTH(CZ$41),'Weather Calculation'!$H$68:$S$81,9,TRUE)),0)</f>
        <v>0</v>
      </c>
      <c r="DA45" s="1"/>
      <c r="DB45" s="284"/>
    </row>
    <row r="46" spans="1:106" ht="15" customHeight="1" x14ac:dyDescent="0.35">
      <c r="A46" s="366" t="s">
        <v>24</v>
      </c>
      <c r="B46" s="367"/>
      <c r="C46" s="367"/>
      <c r="D46" s="368">
        <f t="shared" si="21"/>
        <v>0</v>
      </c>
      <c r="E46" s="369"/>
      <c r="F46" s="286"/>
      <c r="G46" s="126"/>
      <c r="H46" s="136"/>
      <c r="I46" s="155">
        <f>IF(I$9&lt;$F$7,(HLOOKUP(MONTH(I$41),'Weather Calculation'!$H$68:$S$81,10,TRUE)),0)</f>
        <v>0</v>
      </c>
      <c r="J46" s="155">
        <f>IF(J$9&lt;$F$7,(HLOOKUP(MONTH(J$41),'Weather Calculation'!$H$68:$S$81,10,TRUE)),0)</f>
        <v>0</v>
      </c>
      <c r="K46" s="155">
        <f>IF(K$9&lt;$F$7,(HLOOKUP(MONTH(K$41),'Weather Calculation'!$H$68:$S$81,10,TRUE)),0)</f>
        <v>0</v>
      </c>
      <c r="L46" s="155">
        <f>IF(L$9&lt;$F$7,(HLOOKUP(MONTH(L$41),'Weather Calculation'!$H$68:$S$81,10,TRUE)),0)</f>
        <v>0</v>
      </c>
      <c r="M46" s="155">
        <f>IF(M$9&lt;$F$7,(HLOOKUP(MONTH(M$41),'Weather Calculation'!$H$68:$S$81,10,TRUE)),0)</f>
        <v>0</v>
      </c>
      <c r="N46" s="155">
        <f>IF(N$9&lt;$F$7,(HLOOKUP(MONTH(N$41),'Weather Calculation'!$H$68:$S$81,10,TRUE)),0)</f>
        <v>0</v>
      </c>
      <c r="O46" s="155">
        <f>IF(O$9&lt;$F$7,(HLOOKUP(MONTH(O$41),'Weather Calculation'!$H$68:$S$81,10,TRUE)),0)</f>
        <v>0</v>
      </c>
      <c r="P46" s="155">
        <f>IF(P$9&lt;$F$7,(HLOOKUP(MONTH(P$41),'Weather Calculation'!$H$68:$S$81,10,TRUE)),0)</f>
        <v>0</v>
      </c>
      <c r="Q46" s="155">
        <f>IF(Q$9&lt;$F$7,(HLOOKUP(MONTH(Q$41),'Weather Calculation'!$H$68:$S$81,10,TRUE)),0)</f>
        <v>0</v>
      </c>
      <c r="R46" s="155">
        <f>IF(R$9&lt;$F$7,(HLOOKUP(MONTH(R$41),'Weather Calculation'!$H$68:$S$81,10,TRUE)),0)</f>
        <v>0</v>
      </c>
      <c r="S46" s="155">
        <f>IF(S$9&lt;$F$7,(HLOOKUP(MONTH(S$41),'Weather Calculation'!$H$68:$S$81,10,TRUE)),0)</f>
        <v>0</v>
      </c>
      <c r="T46" s="155">
        <f>IF(T$9&lt;$F$7,(HLOOKUP(MONTH(T$41),'Weather Calculation'!$H$68:$S$81,10,TRUE)),0)</f>
        <v>0</v>
      </c>
      <c r="U46" s="155">
        <f>IF(U$9&lt;$F$7,(HLOOKUP(MONTH(U$41),'Weather Calculation'!$H$68:$S$81,10,TRUE)),0)</f>
        <v>0</v>
      </c>
      <c r="V46" s="155">
        <f>IF(V$9&lt;$F$7,(HLOOKUP(MONTH(V$41),'Weather Calculation'!$H$68:$S$81,10,TRUE)),0)</f>
        <v>0</v>
      </c>
      <c r="W46" s="155">
        <f>IF(W$9&lt;$F$7,(HLOOKUP(MONTH(W$41),'Weather Calculation'!$H$68:$S$81,10,TRUE)),0)</f>
        <v>0</v>
      </c>
      <c r="X46" s="155">
        <f>IF(X$9&lt;$F$7,(HLOOKUP(MONTH(X$41),'Weather Calculation'!$H$68:$S$81,10,TRUE)),0)</f>
        <v>0</v>
      </c>
      <c r="Y46" s="155">
        <f>IF(Y$9&lt;$F$7,(HLOOKUP(MONTH(Y$41),'Weather Calculation'!$H$68:$S$81,10,TRUE)),0)</f>
        <v>0</v>
      </c>
      <c r="Z46" s="155">
        <f>IF(Z$9&lt;$F$7,(HLOOKUP(MONTH(Z$41),'Weather Calculation'!$H$68:$S$81,10,TRUE)),0)</f>
        <v>0</v>
      </c>
      <c r="AA46" s="155">
        <f>IF(AA$9&lt;$F$7,(HLOOKUP(MONTH(AA$41),'Weather Calculation'!$H$68:$S$81,10,TRUE)),0)</f>
        <v>0</v>
      </c>
      <c r="AB46" s="155">
        <f>IF(AB$9&lt;$F$7,(HLOOKUP(MONTH(AB$41),'Weather Calculation'!$H$68:$S$81,10,TRUE)),0)</f>
        <v>0</v>
      </c>
      <c r="AC46" s="155">
        <f>IF(AC$9&lt;$F$7,(HLOOKUP(MONTH(AC$41),'Weather Calculation'!$H$68:$S$81,10,TRUE)),0)</f>
        <v>0</v>
      </c>
      <c r="AD46" s="155">
        <f>IF(AD$9&lt;$F$7,(HLOOKUP(MONTH(AD$41),'Weather Calculation'!$H$68:$S$81,10,TRUE)),0)</f>
        <v>0</v>
      </c>
      <c r="AE46" s="155">
        <f>IF(AE$9&lt;$F$7,(HLOOKUP(MONTH(AE$41),'Weather Calculation'!$H$68:$S$81,10,TRUE)),0)</f>
        <v>0</v>
      </c>
      <c r="AF46" s="155">
        <f>IF(AF$9&lt;$F$7,(HLOOKUP(MONTH(AF$41),'Weather Calculation'!$H$68:$S$81,10,TRUE)),0)</f>
        <v>0</v>
      </c>
      <c r="AG46" s="155">
        <f>IF(AG$9&lt;$F$7,(HLOOKUP(MONTH(AG$41),'Weather Calculation'!$H$68:$S$81,10,TRUE)),0)</f>
        <v>0</v>
      </c>
      <c r="AH46" s="155">
        <f>IF(AH$9&lt;$F$7,(HLOOKUP(MONTH(AH$41),'Weather Calculation'!$H$68:$S$81,10,TRUE)),0)</f>
        <v>0</v>
      </c>
      <c r="AI46" s="155">
        <f>IF(AI$9&lt;$F$7,(HLOOKUP(MONTH(AI$41),'Weather Calculation'!$H$68:$S$81,10,TRUE)),0)</f>
        <v>0</v>
      </c>
      <c r="AJ46" s="155">
        <f>IF(AJ$9&lt;$F$7,(HLOOKUP(MONTH(AJ$41),'Weather Calculation'!$H$68:$S$81,10,TRUE)),0)</f>
        <v>0</v>
      </c>
      <c r="AK46" s="155">
        <f>IF(AK$9&lt;$F$7,(HLOOKUP(MONTH(AK$41),'Weather Calculation'!$H$68:$S$81,10,TRUE)),0)</f>
        <v>0</v>
      </c>
      <c r="AL46" s="155">
        <f>IF(AL$9&lt;$F$7,(HLOOKUP(MONTH(AL$41),'Weather Calculation'!$H$68:$S$81,10,TRUE)),0)</f>
        <v>0</v>
      </c>
      <c r="AM46" s="155">
        <f>IF(AM$9&lt;$F$7,(HLOOKUP(MONTH(AM$41),'Weather Calculation'!$H$68:$S$81,10,TRUE)),0)</f>
        <v>0</v>
      </c>
      <c r="AN46" s="155">
        <f>IF(AN$9&lt;$F$7,(HLOOKUP(MONTH(AN$41),'Weather Calculation'!$H$68:$S$81,10,TRUE)),0)</f>
        <v>0</v>
      </c>
      <c r="AO46" s="155">
        <f>IF(AO$9&lt;$F$7,(HLOOKUP(MONTH(AO$41),'Weather Calculation'!$H$68:$S$81,10,TRUE)),0)</f>
        <v>0</v>
      </c>
      <c r="AP46" s="155">
        <f>IF(AP$9&lt;$F$7,(HLOOKUP(MONTH(AP$41),'Weather Calculation'!$H$68:$S$81,10,TRUE)),0)</f>
        <v>0</v>
      </c>
      <c r="AQ46" s="155">
        <f>IF(AQ$9&lt;$F$7,(HLOOKUP(MONTH(AQ$41),'Weather Calculation'!$H$68:$S$81,10,TRUE)),0)</f>
        <v>0</v>
      </c>
      <c r="AR46" s="155">
        <f>IF(AR$9&lt;$F$7,(HLOOKUP(MONTH(AR$41),'Weather Calculation'!$H$68:$S$81,10,TRUE)),0)</f>
        <v>0</v>
      </c>
      <c r="AS46" s="155">
        <f>IF(AS$9&lt;$F$7,(HLOOKUP(MONTH(AS$41),'Weather Calculation'!$H$68:$S$81,10,TRUE)),0)</f>
        <v>0</v>
      </c>
      <c r="AT46" s="155">
        <f>IF(AT$9&lt;$F$7,(HLOOKUP(MONTH(AT$41),'Weather Calculation'!$H$68:$S$81,10,TRUE)),0)</f>
        <v>0</v>
      </c>
      <c r="AU46" s="155">
        <f>IF(AU$9&lt;$F$7,(HLOOKUP(MONTH(AU$41),'Weather Calculation'!$H$68:$S$81,10,TRUE)),0)</f>
        <v>0</v>
      </c>
      <c r="AV46" s="155">
        <f>IF(AV$9&lt;$F$7,(HLOOKUP(MONTH(AV$41),'Weather Calculation'!$H$68:$S$81,10,TRUE)),0)</f>
        <v>0</v>
      </c>
      <c r="AW46" s="155">
        <f>IF(AW$9&lt;$F$7,(HLOOKUP(MONTH(AW$41),'Weather Calculation'!$H$68:$S$81,10,TRUE)),0)</f>
        <v>0</v>
      </c>
      <c r="AX46" s="155">
        <f>IF(AX$9&lt;$F$7,(HLOOKUP(MONTH(AX$41),'Weather Calculation'!$H$68:$S$81,10,TRUE)),0)</f>
        <v>0</v>
      </c>
      <c r="AY46" s="155">
        <f>IF(AY$9&lt;$F$7,(HLOOKUP(MONTH(AY$41),'Weather Calculation'!$H$68:$S$81,10,TRUE)),0)</f>
        <v>0</v>
      </c>
      <c r="AZ46" s="155">
        <f>IF(AZ$9&lt;$F$7,(HLOOKUP(MONTH(AZ$41),'Weather Calculation'!$H$68:$S$81,10,TRUE)),0)</f>
        <v>0</v>
      </c>
      <c r="BA46" s="155">
        <f>IF(BA$9&lt;$F$7,(HLOOKUP(MONTH(BA$41),'Weather Calculation'!$H$68:$S$81,10,TRUE)),0)</f>
        <v>0</v>
      </c>
      <c r="BB46" s="155">
        <f>IF(BB$9&lt;$F$7,(HLOOKUP(MONTH(BB$41),'Weather Calculation'!$H$68:$S$81,10,TRUE)),0)</f>
        <v>0</v>
      </c>
      <c r="BC46" s="155">
        <f>IF(BC$9&lt;$F$7,(HLOOKUP(MONTH(BC$41),'Weather Calculation'!$H$68:$S$81,10,TRUE)),0)</f>
        <v>0</v>
      </c>
      <c r="BD46" s="155">
        <f>IF(BD$9&lt;$F$7,(HLOOKUP(MONTH(BD$41),'Weather Calculation'!$H$68:$S$81,10,TRUE)),0)</f>
        <v>0</v>
      </c>
      <c r="BE46" s="155">
        <f>IF(BE$9&lt;$F$7,(HLOOKUP(MONTH(BE$41),'Weather Calculation'!$H$68:$S$81,10,TRUE)),0)</f>
        <v>0</v>
      </c>
      <c r="BF46" s="155">
        <f>IF(BF$9&lt;$F$7,(HLOOKUP(MONTH(BF$41),'Weather Calculation'!$H$68:$S$81,10,TRUE)),0)</f>
        <v>0</v>
      </c>
      <c r="BG46" s="155">
        <f>IF(BG$9&lt;$F$7,(HLOOKUP(MONTH(BG$41),'Weather Calculation'!$H$68:$S$81,10,TRUE)),0)</f>
        <v>0</v>
      </c>
      <c r="BH46" s="155">
        <f>IF(BH$9&lt;$F$7,(HLOOKUP(MONTH(BH$41),'Weather Calculation'!$H$68:$S$81,10,TRUE)),0)</f>
        <v>0</v>
      </c>
      <c r="BI46" s="155">
        <f>IF(BI$9&lt;$F$7,(HLOOKUP(MONTH(BI$41),'Weather Calculation'!$H$68:$S$81,10,TRUE)),0)</f>
        <v>0</v>
      </c>
      <c r="BJ46" s="155">
        <f>IF(BJ$9&lt;$F$7,(HLOOKUP(MONTH(BJ$41),'Weather Calculation'!$H$68:$S$81,10,TRUE)),0)</f>
        <v>0</v>
      </c>
      <c r="BK46" s="155">
        <f>IF(BK$9&lt;$F$7,(HLOOKUP(MONTH(BK$41),'Weather Calculation'!$H$68:$S$81,10,TRUE)),0)</f>
        <v>0</v>
      </c>
      <c r="BL46" s="155">
        <f>IF(BL$9&lt;$F$7,(HLOOKUP(MONTH(BL$41),'Weather Calculation'!$H$68:$S$81,10,TRUE)),0)</f>
        <v>0</v>
      </c>
      <c r="BM46" s="155">
        <f>IF(BM$9&lt;$F$7,(HLOOKUP(MONTH(BM$41),'Weather Calculation'!$H$68:$S$81,10,TRUE)),0)</f>
        <v>0</v>
      </c>
      <c r="BN46" s="155">
        <f>IF(BN$9&lt;$F$7,(HLOOKUP(MONTH(BN$41),'Weather Calculation'!$H$68:$S$81,10,TRUE)),0)</f>
        <v>0</v>
      </c>
      <c r="BO46" s="155">
        <f>IF(BO$9&lt;$F$7,(HLOOKUP(MONTH(BO$41),'Weather Calculation'!$H$68:$S$81,10,TRUE)),0)</f>
        <v>0</v>
      </c>
      <c r="BP46" s="155">
        <f>IF(BP$9&lt;$F$7,(HLOOKUP(MONTH(BP$41),'Weather Calculation'!$H$68:$S$81,10,TRUE)),0)</f>
        <v>0</v>
      </c>
      <c r="BQ46" s="155">
        <f>IF(BQ$9&lt;$F$7,(HLOOKUP(MONTH(BQ$41),'Weather Calculation'!$H$68:$S$81,10,TRUE)),0)</f>
        <v>0</v>
      </c>
      <c r="BR46" s="155">
        <f>IF(BR$9&lt;$F$7,(HLOOKUP(MONTH(BR$41),'Weather Calculation'!$H$68:$S$81,10,TRUE)),0)</f>
        <v>0</v>
      </c>
      <c r="BS46" s="155">
        <f>IF(BS$9&lt;$F$7,(HLOOKUP(MONTH(BS$41),'Weather Calculation'!$H$68:$S$81,10,TRUE)),0)</f>
        <v>0</v>
      </c>
      <c r="BT46" s="155">
        <f>IF(BT$9&lt;$F$7,(HLOOKUP(MONTH(BT$41),'Weather Calculation'!$H$68:$S$81,10,TRUE)),0)</f>
        <v>0</v>
      </c>
      <c r="BU46" s="155">
        <f>IF(BU$9&lt;$F$7,(HLOOKUP(MONTH(BU$41),'Weather Calculation'!$H$68:$S$81,10,TRUE)),0)</f>
        <v>0</v>
      </c>
      <c r="BV46" s="155">
        <f>IF(BV$9&lt;$F$7,(HLOOKUP(MONTH(BV$41),'Weather Calculation'!$H$68:$S$81,10,TRUE)),0)</f>
        <v>0</v>
      </c>
      <c r="BW46" s="155">
        <f>IF(BW$9&lt;$F$7,(HLOOKUP(MONTH(BW$41),'Weather Calculation'!$H$68:$S$81,10,TRUE)),0)</f>
        <v>0</v>
      </c>
      <c r="BX46" s="155">
        <f>IF(BX$9&lt;$F$7,(HLOOKUP(MONTH(BX$41),'Weather Calculation'!$H$68:$S$81,10,TRUE)),0)</f>
        <v>0</v>
      </c>
      <c r="BY46" s="155">
        <f>IF(BY$9&lt;$F$7,(HLOOKUP(MONTH(BY$41),'Weather Calculation'!$H$68:$S$81,10,TRUE)),0)</f>
        <v>0</v>
      </c>
      <c r="BZ46" s="155">
        <f>IF(BZ$9&lt;$F$7,(HLOOKUP(MONTH(BZ$41),'Weather Calculation'!$H$68:$S$81,10,TRUE)),0)</f>
        <v>0</v>
      </c>
      <c r="CA46" s="155">
        <f>IF(CA$9&lt;$F$7,(HLOOKUP(MONTH(CA$41),'Weather Calculation'!$H$68:$S$81,10,TRUE)),0)</f>
        <v>0</v>
      </c>
      <c r="CB46" s="155">
        <f>IF(CB$9&lt;$F$7,(HLOOKUP(MONTH(CB$41),'Weather Calculation'!$H$68:$S$81,10,TRUE)),0)</f>
        <v>0</v>
      </c>
      <c r="CC46" s="155">
        <f>IF(CC$9&lt;$F$7,(HLOOKUP(MONTH(CC$41),'Weather Calculation'!$H$68:$S$81,10,TRUE)),0)</f>
        <v>0</v>
      </c>
      <c r="CD46" s="155">
        <f>IF(CD$9&lt;$F$7,(HLOOKUP(MONTH(CD$41),'Weather Calculation'!$H$68:$S$81,10,TRUE)),0)</f>
        <v>0</v>
      </c>
      <c r="CE46" s="155">
        <f>IF(CE$9&lt;$F$7,(HLOOKUP(MONTH(CE$41),'Weather Calculation'!$H$68:$S$81,10,TRUE)),0)</f>
        <v>0</v>
      </c>
      <c r="CF46" s="155">
        <f>IF(CF$9&lt;$F$7,(HLOOKUP(MONTH(CF$41),'Weather Calculation'!$H$68:$S$81,10,TRUE)),0)</f>
        <v>0</v>
      </c>
      <c r="CG46" s="155">
        <f>IF(CG$9&lt;$F$7,(HLOOKUP(MONTH(CG$41),'Weather Calculation'!$H$68:$S$81,10,TRUE)),0)</f>
        <v>0</v>
      </c>
      <c r="CH46" s="155">
        <f>IF(CH$9&lt;$F$7,(HLOOKUP(MONTH(CH$41),'Weather Calculation'!$H$68:$S$81,10,TRUE)),0)</f>
        <v>0</v>
      </c>
      <c r="CI46" s="155">
        <f>IF(CI$9&lt;$F$7,(HLOOKUP(MONTH(CI$41),'Weather Calculation'!$H$68:$S$81,10,TRUE)),0)</f>
        <v>0</v>
      </c>
      <c r="CJ46" s="155">
        <f>IF(CJ$9&lt;$F$7,(HLOOKUP(MONTH(CJ$41),'Weather Calculation'!$H$68:$S$81,10,TRUE)),0)</f>
        <v>0</v>
      </c>
      <c r="CK46" s="155">
        <f>IF(CK$9&lt;$F$7,(HLOOKUP(MONTH(CK$41),'Weather Calculation'!$H$68:$S$81,10,TRUE)),0)</f>
        <v>0</v>
      </c>
      <c r="CL46" s="155">
        <f>IF(CL$9&lt;$F$7,(HLOOKUP(MONTH(CL$41),'Weather Calculation'!$H$68:$S$81,10,TRUE)),0)</f>
        <v>0</v>
      </c>
      <c r="CM46" s="155">
        <f>IF(CM$9&lt;$F$7,(HLOOKUP(MONTH(CM$41),'Weather Calculation'!$H$68:$S$81,10,TRUE)),0)</f>
        <v>0</v>
      </c>
      <c r="CN46" s="155">
        <f>IF(CN$9&lt;$F$7,(HLOOKUP(MONTH(CN$41),'Weather Calculation'!$H$68:$S$81,10,TRUE)),0)</f>
        <v>0</v>
      </c>
      <c r="CO46" s="155">
        <f>IF(CO$9&lt;$F$7,(HLOOKUP(MONTH(CO$41),'Weather Calculation'!$H$68:$S$81,10,TRUE)),0)</f>
        <v>0</v>
      </c>
      <c r="CP46" s="155">
        <f>IF(CP$9&lt;$F$7,(HLOOKUP(MONTH(CP$41),'Weather Calculation'!$H$68:$S$81,10,TRUE)),0)</f>
        <v>0</v>
      </c>
      <c r="CQ46" s="155">
        <f>IF(CQ$9&lt;$F$7,(HLOOKUP(MONTH(CQ$41),'Weather Calculation'!$H$68:$S$81,10,TRUE)),0)</f>
        <v>0</v>
      </c>
      <c r="CR46" s="155">
        <f>IF(CR$9&lt;$F$7,(HLOOKUP(MONTH(CR$41),'Weather Calculation'!$H$68:$S$81,10,TRUE)),0)</f>
        <v>0</v>
      </c>
      <c r="CS46" s="155">
        <f>IF(CS$9&lt;$F$7,(HLOOKUP(MONTH(CS$41),'Weather Calculation'!$H$68:$S$81,10,TRUE)),0)</f>
        <v>0</v>
      </c>
      <c r="CT46" s="155">
        <f>IF(CT$9&lt;$F$7,(HLOOKUP(MONTH(CT$41),'Weather Calculation'!$H$68:$S$81,10,TRUE)),0)</f>
        <v>0</v>
      </c>
      <c r="CU46" s="155">
        <f>IF(CU$9&lt;$F$7,(HLOOKUP(MONTH(CU$41),'Weather Calculation'!$H$68:$S$81,10,TRUE)),0)</f>
        <v>0</v>
      </c>
      <c r="CV46" s="155">
        <f>IF(CV$9&lt;$F$7,(HLOOKUP(MONTH(CV$41),'Weather Calculation'!$H$68:$S$81,10,TRUE)),0)</f>
        <v>0</v>
      </c>
      <c r="CW46" s="155">
        <f>IF(CW$9&lt;$F$7,(HLOOKUP(MONTH(CW$41),'Weather Calculation'!$H$68:$S$81,10,TRUE)),0)</f>
        <v>0</v>
      </c>
      <c r="CX46" s="155">
        <f>IF(CX$9&lt;$F$7,(HLOOKUP(MONTH(CX$41),'Weather Calculation'!$H$68:$S$81,10,TRUE)),0)</f>
        <v>0</v>
      </c>
      <c r="CY46" s="155">
        <f>IF(CY$9&lt;$F$7,(HLOOKUP(MONTH(CY$41),'Weather Calculation'!$H$68:$S$81,10,TRUE)),0)</f>
        <v>0</v>
      </c>
      <c r="CZ46" s="155">
        <f>IF(CZ$9&lt;$F$7,(HLOOKUP(MONTH(CZ$41),'Weather Calculation'!$H$68:$S$81,10,TRUE)),0)</f>
        <v>0</v>
      </c>
      <c r="DA46" s="1"/>
      <c r="DB46" s="284"/>
    </row>
    <row r="47" spans="1:106" ht="15" customHeight="1" x14ac:dyDescent="0.35">
      <c r="A47" s="366" t="s">
        <v>25</v>
      </c>
      <c r="B47" s="367"/>
      <c r="C47" s="367"/>
      <c r="D47" s="368">
        <f t="shared" si="21"/>
        <v>0</v>
      </c>
      <c r="E47" s="369"/>
      <c r="F47" s="286"/>
      <c r="G47" s="126"/>
      <c r="H47" s="136"/>
      <c r="I47" s="155">
        <f>IF(I$9&lt;$F$7,(HLOOKUP(MONTH(I$41),'Weather Calculation'!$H$68:$S$81,11,TRUE)),0)</f>
        <v>0</v>
      </c>
      <c r="J47" s="155">
        <f>IF(J$9&lt;$F$7,(HLOOKUP(MONTH(J$41),'Weather Calculation'!$H$68:$S$81,11,TRUE)),0)</f>
        <v>0</v>
      </c>
      <c r="K47" s="155">
        <f>IF(K$9&lt;$F$7,(HLOOKUP(MONTH(K$41),'Weather Calculation'!$H$68:$S$81,11,TRUE)),0)</f>
        <v>0</v>
      </c>
      <c r="L47" s="155">
        <f>IF(L$9&lt;$F$7,(HLOOKUP(MONTH(L$41),'Weather Calculation'!$H$68:$S$81,11,TRUE)),0)</f>
        <v>0</v>
      </c>
      <c r="M47" s="155">
        <f>IF(M$9&lt;$F$7,(HLOOKUP(MONTH(M$41),'Weather Calculation'!$H$68:$S$81,11,TRUE)),0)</f>
        <v>0</v>
      </c>
      <c r="N47" s="155">
        <f>IF(N$9&lt;$F$7,(HLOOKUP(MONTH(N$41),'Weather Calculation'!$H$68:$S$81,11,TRUE)),0)</f>
        <v>0</v>
      </c>
      <c r="O47" s="155">
        <f>IF(O$9&lt;$F$7,(HLOOKUP(MONTH(O$41),'Weather Calculation'!$H$68:$S$81,11,TRUE)),0)</f>
        <v>0</v>
      </c>
      <c r="P47" s="155">
        <f>IF(P$9&lt;$F$7,(HLOOKUP(MONTH(P$41),'Weather Calculation'!$H$68:$S$81,11,TRUE)),0)</f>
        <v>0</v>
      </c>
      <c r="Q47" s="155">
        <f>IF(Q$9&lt;$F$7,(HLOOKUP(MONTH(Q$41),'Weather Calculation'!$H$68:$S$81,11,TRUE)),0)</f>
        <v>0</v>
      </c>
      <c r="R47" s="155">
        <f>IF(R$9&lt;$F$7,(HLOOKUP(MONTH(R$41),'Weather Calculation'!$H$68:$S$81,11,TRUE)),0)</f>
        <v>0</v>
      </c>
      <c r="S47" s="155">
        <f>IF(S$9&lt;$F$7,(HLOOKUP(MONTH(S$41),'Weather Calculation'!$H$68:$S$81,11,TRUE)),0)</f>
        <v>0</v>
      </c>
      <c r="T47" s="155">
        <f>IF(T$9&lt;$F$7,(HLOOKUP(MONTH(T$41),'Weather Calculation'!$H$68:$S$81,11,TRUE)),0)</f>
        <v>0</v>
      </c>
      <c r="U47" s="155">
        <f>IF(U$9&lt;$F$7,(HLOOKUP(MONTH(U$41),'Weather Calculation'!$H$68:$S$81,11,TRUE)),0)</f>
        <v>0</v>
      </c>
      <c r="V47" s="155">
        <f>IF(V$9&lt;$F$7,(HLOOKUP(MONTH(V$41),'Weather Calculation'!$H$68:$S$81,11,TRUE)),0)</f>
        <v>0</v>
      </c>
      <c r="W47" s="155">
        <f>IF(W$9&lt;$F$7,(HLOOKUP(MONTH(W$41),'Weather Calculation'!$H$68:$S$81,11,TRUE)),0)</f>
        <v>0</v>
      </c>
      <c r="X47" s="155">
        <f>IF(X$9&lt;$F$7,(HLOOKUP(MONTH(X$41),'Weather Calculation'!$H$68:$S$81,11,TRUE)),0)</f>
        <v>0</v>
      </c>
      <c r="Y47" s="155">
        <f>IF(Y$9&lt;$F$7,(HLOOKUP(MONTH(Y$41),'Weather Calculation'!$H$68:$S$81,11,TRUE)),0)</f>
        <v>0</v>
      </c>
      <c r="Z47" s="155">
        <f>IF(Z$9&lt;$F$7,(HLOOKUP(MONTH(Z$41),'Weather Calculation'!$H$68:$S$81,11,TRUE)),0)</f>
        <v>0</v>
      </c>
      <c r="AA47" s="155">
        <f>IF(AA$9&lt;$F$7,(HLOOKUP(MONTH(AA$41),'Weather Calculation'!$H$68:$S$81,11,TRUE)),0)</f>
        <v>0</v>
      </c>
      <c r="AB47" s="155">
        <f>IF(AB$9&lt;$F$7,(HLOOKUP(MONTH(AB$41),'Weather Calculation'!$H$68:$S$81,11,TRUE)),0)</f>
        <v>0</v>
      </c>
      <c r="AC47" s="155">
        <f>IF(AC$9&lt;$F$7,(HLOOKUP(MONTH(AC$41),'Weather Calculation'!$H$68:$S$81,11,TRUE)),0)</f>
        <v>0</v>
      </c>
      <c r="AD47" s="155">
        <f>IF(AD$9&lt;$F$7,(HLOOKUP(MONTH(AD$41),'Weather Calculation'!$H$68:$S$81,11,TRUE)),0)</f>
        <v>0</v>
      </c>
      <c r="AE47" s="155">
        <f>IF(AE$9&lt;$F$7,(HLOOKUP(MONTH(AE$41),'Weather Calculation'!$H$68:$S$81,11,TRUE)),0)</f>
        <v>0</v>
      </c>
      <c r="AF47" s="155">
        <f>IF(AF$9&lt;$F$7,(HLOOKUP(MONTH(AF$41),'Weather Calculation'!$H$68:$S$81,11,TRUE)),0)</f>
        <v>0</v>
      </c>
      <c r="AG47" s="155">
        <f>IF(AG$9&lt;$F$7,(HLOOKUP(MONTH(AG$41),'Weather Calculation'!$H$68:$S$81,11,TRUE)),0)</f>
        <v>0</v>
      </c>
      <c r="AH47" s="155">
        <f>IF(AH$9&lt;$F$7,(HLOOKUP(MONTH(AH$41),'Weather Calculation'!$H$68:$S$81,11,TRUE)),0)</f>
        <v>0</v>
      </c>
      <c r="AI47" s="155">
        <f>IF(AI$9&lt;$F$7,(HLOOKUP(MONTH(AI$41),'Weather Calculation'!$H$68:$S$81,11,TRUE)),0)</f>
        <v>0</v>
      </c>
      <c r="AJ47" s="155">
        <f>IF(AJ$9&lt;$F$7,(HLOOKUP(MONTH(AJ$41),'Weather Calculation'!$H$68:$S$81,11,TRUE)),0)</f>
        <v>0</v>
      </c>
      <c r="AK47" s="155">
        <f>IF(AK$9&lt;$F$7,(HLOOKUP(MONTH(AK$41),'Weather Calculation'!$H$68:$S$81,11,TRUE)),0)</f>
        <v>0</v>
      </c>
      <c r="AL47" s="155">
        <f>IF(AL$9&lt;$F$7,(HLOOKUP(MONTH(AL$41),'Weather Calculation'!$H$68:$S$81,11,TRUE)),0)</f>
        <v>0</v>
      </c>
      <c r="AM47" s="155">
        <f>IF(AM$9&lt;$F$7,(HLOOKUP(MONTH(AM$41),'Weather Calculation'!$H$68:$S$81,11,TRUE)),0)</f>
        <v>0</v>
      </c>
      <c r="AN47" s="155">
        <f>IF(AN$9&lt;$F$7,(HLOOKUP(MONTH(AN$41),'Weather Calculation'!$H$68:$S$81,11,TRUE)),0)</f>
        <v>0</v>
      </c>
      <c r="AO47" s="155">
        <f>IF(AO$9&lt;$F$7,(HLOOKUP(MONTH(AO$41),'Weather Calculation'!$H$68:$S$81,11,TRUE)),0)</f>
        <v>0</v>
      </c>
      <c r="AP47" s="155">
        <f>IF(AP$9&lt;$F$7,(HLOOKUP(MONTH(AP$41),'Weather Calculation'!$H$68:$S$81,11,TRUE)),0)</f>
        <v>0</v>
      </c>
      <c r="AQ47" s="155">
        <f>IF(AQ$9&lt;$F$7,(HLOOKUP(MONTH(AQ$41),'Weather Calculation'!$H$68:$S$81,11,TRUE)),0)</f>
        <v>0</v>
      </c>
      <c r="AR47" s="155">
        <f>IF(AR$9&lt;$F$7,(HLOOKUP(MONTH(AR$41),'Weather Calculation'!$H$68:$S$81,11,TRUE)),0)</f>
        <v>0</v>
      </c>
      <c r="AS47" s="155">
        <f>IF(AS$9&lt;$F$7,(HLOOKUP(MONTH(AS$41),'Weather Calculation'!$H$68:$S$81,11,TRUE)),0)</f>
        <v>0</v>
      </c>
      <c r="AT47" s="155">
        <f>IF(AT$9&lt;$F$7,(HLOOKUP(MONTH(AT$41),'Weather Calculation'!$H$68:$S$81,11,TRUE)),0)</f>
        <v>0</v>
      </c>
      <c r="AU47" s="155">
        <f>IF(AU$9&lt;$F$7,(HLOOKUP(MONTH(AU$41),'Weather Calculation'!$H$68:$S$81,11,TRUE)),0)</f>
        <v>0</v>
      </c>
      <c r="AV47" s="155">
        <f>IF(AV$9&lt;$F$7,(HLOOKUP(MONTH(AV$41),'Weather Calculation'!$H$68:$S$81,11,TRUE)),0)</f>
        <v>0</v>
      </c>
      <c r="AW47" s="155">
        <f>IF(AW$9&lt;$F$7,(HLOOKUP(MONTH(AW$41),'Weather Calculation'!$H$68:$S$81,11,TRUE)),0)</f>
        <v>0</v>
      </c>
      <c r="AX47" s="155">
        <f>IF(AX$9&lt;$F$7,(HLOOKUP(MONTH(AX$41),'Weather Calculation'!$H$68:$S$81,11,TRUE)),0)</f>
        <v>0</v>
      </c>
      <c r="AY47" s="155">
        <f>IF(AY$9&lt;$F$7,(HLOOKUP(MONTH(AY$41),'Weather Calculation'!$H$68:$S$81,11,TRUE)),0)</f>
        <v>0</v>
      </c>
      <c r="AZ47" s="155">
        <f>IF(AZ$9&lt;$F$7,(HLOOKUP(MONTH(AZ$41),'Weather Calculation'!$H$68:$S$81,11,TRUE)),0)</f>
        <v>0</v>
      </c>
      <c r="BA47" s="155">
        <f>IF(BA$9&lt;$F$7,(HLOOKUP(MONTH(BA$41),'Weather Calculation'!$H$68:$S$81,11,TRUE)),0)</f>
        <v>0</v>
      </c>
      <c r="BB47" s="155">
        <f>IF(BB$9&lt;$F$7,(HLOOKUP(MONTH(BB$41),'Weather Calculation'!$H$68:$S$81,11,TRUE)),0)</f>
        <v>0</v>
      </c>
      <c r="BC47" s="155">
        <f>IF(BC$9&lt;$F$7,(HLOOKUP(MONTH(BC$41),'Weather Calculation'!$H$68:$S$81,11,TRUE)),0)</f>
        <v>0</v>
      </c>
      <c r="BD47" s="155">
        <f>IF(BD$9&lt;$F$7,(HLOOKUP(MONTH(BD$41),'Weather Calculation'!$H$68:$S$81,11,TRUE)),0)</f>
        <v>0</v>
      </c>
      <c r="BE47" s="155">
        <f>IF(BE$9&lt;$F$7,(HLOOKUP(MONTH(BE$41),'Weather Calculation'!$H$68:$S$81,11,TRUE)),0)</f>
        <v>0</v>
      </c>
      <c r="BF47" s="155">
        <f>IF(BF$9&lt;$F$7,(HLOOKUP(MONTH(BF$41),'Weather Calculation'!$H$68:$S$81,11,TRUE)),0)</f>
        <v>0</v>
      </c>
      <c r="BG47" s="155">
        <f>IF(BG$9&lt;$F$7,(HLOOKUP(MONTH(BG$41),'Weather Calculation'!$H$68:$S$81,11,TRUE)),0)</f>
        <v>0</v>
      </c>
      <c r="BH47" s="155">
        <f>IF(BH$9&lt;$F$7,(HLOOKUP(MONTH(BH$41),'Weather Calculation'!$H$68:$S$81,11,TRUE)),0)</f>
        <v>0</v>
      </c>
      <c r="BI47" s="155">
        <f>IF(BI$9&lt;$F$7,(HLOOKUP(MONTH(BI$41),'Weather Calculation'!$H$68:$S$81,11,TRUE)),0)</f>
        <v>0</v>
      </c>
      <c r="BJ47" s="155">
        <f>IF(BJ$9&lt;$F$7,(HLOOKUP(MONTH(BJ$41),'Weather Calculation'!$H$68:$S$81,11,TRUE)),0)</f>
        <v>0</v>
      </c>
      <c r="BK47" s="155">
        <f>IF(BK$9&lt;$F$7,(HLOOKUP(MONTH(BK$41),'Weather Calculation'!$H$68:$S$81,11,TRUE)),0)</f>
        <v>0</v>
      </c>
      <c r="BL47" s="155">
        <f>IF(BL$9&lt;$F$7,(HLOOKUP(MONTH(BL$41),'Weather Calculation'!$H$68:$S$81,11,TRUE)),0)</f>
        <v>0</v>
      </c>
      <c r="BM47" s="155">
        <f>IF(BM$9&lt;$F$7,(HLOOKUP(MONTH(BM$41),'Weather Calculation'!$H$68:$S$81,11,TRUE)),0)</f>
        <v>0</v>
      </c>
      <c r="BN47" s="155">
        <f>IF(BN$9&lt;$F$7,(HLOOKUP(MONTH(BN$41),'Weather Calculation'!$H$68:$S$81,11,TRUE)),0)</f>
        <v>0</v>
      </c>
      <c r="BO47" s="155">
        <f>IF(BO$9&lt;$F$7,(HLOOKUP(MONTH(BO$41),'Weather Calculation'!$H$68:$S$81,11,TRUE)),0)</f>
        <v>0</v>
      </c>
      <c r="BP47" s="155">
        <f>IF(BP$9&lt;$F$7,(HLOOKUP(MONTH(BP$41),'Weather Calculation'!$H$68:$S$81,11,TRUE)),0)</f>
        <v>0</v>
      </c>
      <c r="BQ47" s="155">
        <f>IF(BQ$9&lt;$F$7,(HLOOKUP(MONTH(BQ$41),'Weather Calculation'!$H$68:$S$81,11,TRUE)),0)</f>
        <v>0</v>
      </c>
      <c r="BR47" s="155">
        <f>IF(BR$9&lt;$F$7,(HLOOKUP(MONTH(BR$41),'Weather Calculation'!$H$68:$S$81,11,TRUE)),0)</f>
        <v>0</v>
      </c>
      <c r="BS47" s="155">
        <f>IF(BS$9&lt;$F$7,(HLOOKUP(MONTH(BS$41),'Weather Calculation'!$H$68:$S$81,11,TRUE)),0)</f>
        <v>0</v>
      </c>
      <c r="BT47" s="155">
        <f>IF(BT$9&lt;$F$7,(HLOOKUP(MONTH(BT$41),'Weather Calculation'!$H$68:$S$81,11,TRUE)),0)</f>
        <v>0</v>
      </c>
      <c r="BU47" s="155">
        <f>IF(BU$9&lt;$F$7,(HLOOKUP(MONTH(BU$41),'Weather Calculation'!$H$68:$S$81,11,TRUE)),0)</f>
        <v>0</v>
      </c>
      <c r="BV47" s="155">
        <f>IF(BV$9&lt;$F$7,(HLOOKUP(MONTH(BV$41),'Weather Calculation'!$H$68:$S$81,11,TRUE)),0)</f>
        <v>0</v>
      </c>
      <c r="BW47" s="155">
        <f>IF(BW$9&lt;$F$7,(HLOOKUP(MONTH(BW$41),'Weather Calculation'!$H$68:$S$81,11,TRUE)),0)</f>
        <v>0</v>
      </c>
      <c r="BX47" s="155">
        <f>IF(BX$9&lt;$F$7,(HLOOKUP(MONTH(BX$41),'Weather Calculation'!$H$68:$S$81,11,TRUE)),0)</f>
        <v>0</v>
      </c>
      <c r="BY47" s="155">
        <f>IF(BY$9&lt;$F$7,(HLOOKUP(MONTH(BY$41),'Weather Calculation'!$H$68:$S$81,11,TRUE)),0)</f>
        <v>0</v>
      </c>
      <c r="BZ47" s="155">
        <f>IF(BZ$9&lt;$F$7,(HLOOKUP(MONTH(BZ$41),'Weather Calculation'!$H$68:$S$81,11,TRUE)),0)</f>
        <v>0</v>
      </c>
      <c r="CA47" s="155">
        <f>IF(CA$9&lt;$F$7,(HLOOKUP(MONTH(CA$41),'Weather Calculation'!$H$68:$S$81,11,TRUE)),0)</f>
        <v>0</v>
      </c>
      <c r="CB47" s="155">
        <f>IF(CB$9&lt;$F$7,(HLOOKUP(MONTH(CB$41),'Weather Calculation'!$H$68:$S$81,11,TRUE)),0)</f>
        <v>0</v>
      </c>
      <c r="CC47" s="155">
        <f>IF(CC$9&lt;$F$7,(HLOOKUP(MONTH(CC$41),'Weather Calculation'!$H$68:$S$81,11,TRUE)),0)</f>
        <v>0</v>
      </c>
      <c r="CD47" s="155">
        <f>IF(CD$9&lt;$F$7,(HLOOKUP(MONTH(CD$41),'Weather Calculation'!$H$68:$S$81,11,TRUE)),0)</f>
        <v>0</v>
      </c>
      <c r="CE47" s="155">
        <f>IF(CE$9&lt;$F$7,(HLOOKUP(MONTH(CE$41),'Weather Calculation'!$H$68:$S$81,11,TRUE)),0)</f>
        <v>0</v>
      </c>
      <c r="CF47" s="155">
        <f>IF(CF$9&lt;$F$7,(HLOOKUP(MONTH(CF$41),'Weather Calculation'!$H$68:$S$81,11,TRUE)),0)</f>
        <v>0</v>
      </c>
      <c r="CG47" s="155">
        <f>IF(CG$9&lt;$F$7,(HLOOKUP(MONTH(CG$41),'Weather Calculation'!$H$68:$S$81,11,TRUE)),0)</f>
        <v>0</v>
      </c>
      <c r="CH47" s="155">
        <f>IF(CH$9&lt;$F$7,(HLOOKUP(MONTH(CH$41),'Weather Calculation'!$H$68:$S$81,11,TRUE)),0)</f>
        <v>0</v>
      </c>
      <c r="CI47" s="155">
        <f>IF(CI$9&lt;$F$7,(HLOOKUP(MONTH(CI$41),'Weather Calculation'!$H$68:$S$81,11,TRUE)),0)</f>
        <v>0</v>
      </c>
      <c r="CJ47" s="155">
        <f>IF(CJ$9&lt;$F$7,(HLOOKUP(MONTH(CJ$41),'Weather Calculation'!$H$68:$S$81,11,TRUE)),0)</f>
        <v>0</v>
      </c>
      <c r="CK47" s="155">
        <f>IF(CK$9&lt;$F$7,(HLOOKUP(MONTH(CK$41),'Weather Calculation'!$H$68:$S$81,11,TRUE)),0)</f>
        <v>0</v>
      </c>
      <c r="CL47" s="155">
        <f>IF(CL$9&lt;$F$7,(HLOOKUP(MONTH(CL$41),'Weather Calculation'!$H$68:$S$81,11,TRUE)),0)</f>
        <v>0</v>
      </c>
      <c r="CM47" s="155">
        <f>IF(CM$9&lt;$F$7,(HLOOKUP(MONTH(CM$41),'Weather Calculation'!$H$68:$S$81,11,TRUE)),0)</f>
        <v>0</v>
      </c>
      <c r="CN47" s="155">
        <f>IF(CN$9&lt;$F$7,(HLOOKUP(MONTH(CN$41),'Weather Calculation'!$H$68:$S$81,11,TRUE)),0)</f>
        <v>0</v>
      </c>
      <c r="CO47" s="155">
        <f>IF(CO$9&lt;$F$7,(HLOOKUP(MONTH(CO$41),'Weather Calculation'!$H$68:$S$81,11,TRUE)),0)</f>
        <v>0</v>
      </c>
      <c r="CP47" s="155">
        <f>IF(CP$9&lt;$F$7,(HLOOKUP(MONTH(CP$41),'Weather Calculation'!$H$68:$S$81,11,TRUE)),0)</f>
        <v>0</v>
      </c>
      <c r="CQ47" s="155">
        <f>IF(CQ$9&lt;$F$7,(HLOOKUP(MONTH(CQ$41),'Weather Calculation'!$H$68:$S$81,11,TRUE)),0)</f>
        <v>0</v>
      </c>
      <c r="CR47" s="155">
        <f>IF(CR$9&lt;$F$7,(HLOOKUP(MONTH(CR$41),'Weather Calculation'!$H$68:$S$81,11,TRUE)),0)</f>
        <v>0</v>
      </c>
      <c r="CS47" s="155">
        <f>IF(CS$9&lt;$F$7,(HLOOKUP(MONTH(CS$41),'Weather Calculation'!$H$68:$S$81,11,TRUE)),0)</f>
        <v>0</v>
      </c>
      <c r="CT47" s="155">
        <f>IF(CT$9&lt;$F$7,(HLOOKUP(MONTH(CT$41),'Weather Calculation'!$H$68:$S$81,11,TRUE)),0)</f>
        <v>0</v>
      </c>
      <c r="CU47" s="155">
        <f>IF(CU$9&lt;$F$7,(HLOOKUP(MONTH(CU$41),'Weather Calculation'!$H$68:$S$81,11,TRUE)),0)</f>
        <v>0</v>
      </c>
      <c r="CV47" s="155">
        <f>IF(CV$9&lt;$F$7,(HLOOKUP(MONTH(CV$41),'Weather Calculation'!$H$68:$S$81,11,TRUE)),0)</f>
        <v>0</v>
      </c>
      <c r="CW47" s="155">
        <f>IF(CW$9&lt;$F$7,(HLOOKUP(MONTH(CW$41),'Weather Calculation'!$H$68:$S$81,11,TRUE)),0)</f>
        <v>0</v>
      </c>
      <c r="CX47" s="155">
        <f>IF(CX$9&lt;$F$7,(HLOOKUP(MONTH(CX$41),'Weather Calculation'!$H$68:$S$81,11,TRUE)),0)</f>
        <v>0</v>
      </c>
      <c r="CY47" s="155">
        <f>IF(CY$9&lt;$F$7,(HLOOKUP(MONTH(CY$41),'Weather Calculation'!$H$68:$S$81,11,TRUE)),0)</f>
        <v>0</v>
      </c>
      <c r="CZ47" s="155">
        <f>IF(CZ$9&lt;$F$7,(HLOOKUP(MONTH(CZ$41),'Weather Calculation'!$H$68:$S$81,11,TRUE)),0)</f>
        <v>0</v>
      </c>
      <c r="DA47" s="1"/>
      <c r="DB47" s="284"/>
    </row>
    <row r="48" spans="1:106" ht="15" customHeight="1" x14ac:dyDescent="0.35">
      <c r="A48" s="366" t="s">
        <v>26</v>
      </c>
      <c r="B48" s="367"/>
      <c r="C48" s="367"/>
      <c r="D48" s="368">
        <f t="shared" si="21"/>
        <v>7</v>
      </c>
      <c r="E48" s="369"/>
      <c r="F48" s="286"/>
      <c r="G48" s="126"/>
      <c r="H48" s="136"/>
      <c r="I48" s="155">
        <f>IF(I$9&lt;$F$7,(HLOOKUP(MONTH(I$41),'Weather Calculation'!$H$68:$S$81,12,TRUE)),0)</f>
        <v>0</v>
      </c>
      <c r="J48" s="155">
        <f>IF(J$9&lt;$F$7,(HLOOKUP(MONTH(J$41),'Weather Calculation'!$H$68:$S$81,12,TRUE)),0)</f>
        <v>0.5</v>
      </c>
      <c r="K48" s="155">
        <f>IF(K$9&lt;$F$7,(HLOOKUP(MONTH(K$41),'Weather Calculation'!$H$68:$S$81,12,TRUE)),0)</f>
        <v>0</v>
      </c>
      <c r="L48" s="155">
        <f>IF(L$9&lt;$F$7,(HLOOKUP(MONTH(L$41),'Weather Calculation'!$H$68:$S$81,12,TRUE)),0)</f>
        <v>0.5</v>
      </c>
      <c r="M48" s="155">
        <f>IF(M$9&lt;$F$7,(HLOOKUP(MONTH(M$41),'Weather Calculation'!$H$68:$S$81,12,TRUE)),0)</f>
        <v>0</v>
      </c>
      <c r="N48" s="155">
        <f>IF(N$9&lt;$F$7,(HLOOKUP(MONTH(N$41),'Weather Calculation'!$H$68:$S$81,12,TRUE)),0)</f>
        <v>0</v>
      </c>
      <c r="O48" s="155">
        <f>IF(O$9&lt;$F$7,(HLOOKUP(MONTH(O$41),'Weather Calculation'!$H$68:$S$81,12,TRUE)),0)</f>
        <v>0</v>
      </c>
      <c r="P48" s="155">
        <f>IF(P$9&lt;$F$7,(HLOOKUP(MONTH(P$41),'Weather Calculation'!$H$68:$S$81,12,TRUE)),0)</f>
        <v>0</v>
      </c>
      <c r="Q48" s="155">
        <f>IF(Q$9&lt;$F$7,(HLOOKUP(MONTH(Q$41),'Weather Calculation'!$H$68:$S$81,12,TRUE)),0)</f>
        <v>0</v>
      </c>
      <c r="R48" s="155">
        <f>IF(R$9&lt;$F$7,(HLOOKUP(MONTH(R$41),'Weather Calculation'!$H$68:$S$81,12,TRUE)),0)</f>
        <v>0.5</v>
      </c>
      <c r="S48" s="155">
        <f>IF(S$9&lt;$F$7,(HLOOKUP(MONTH(S$41),'Weather Calculation'!$H$68:$S$81,12,TRUE)),0)</f>
        <v>0</v>
      </c>
      <c r="T48" s="155">
        <f>IF(T$9&lt;$F$7,(HLOOKUP(MONTH(T$41),'Weather Calculation'!$H$68:$S$81,12,TRUE)),0)</f>
        <v>0.5</v>
      </c>
      <c r="U48" s="155">
        <f>IF(U$9&lt;$F$7,(HLOOKUP(MONTH(U$41),'Weather Calculation'!$H$68:$S$81,12,TRUE)),0)</f>
        <v>0</v>
      </c>
      <c r="V48" s="155">
        <f>IF(V$9&lt;$F$7,(HLOOKUP(MONTH(V$41),'Weather Calculation'!$H$68:$S$81,12,TRUE)),0)</f>
        <v>0.5</v>
      </c>
      <c r="W48" s="155">
        <f>IF(W$9&lt;$F$7,(HLOOKUP(MONTH(W$41),'Weather Calculation'!$H$68:$S$81,12,TRUE)),0)</f>
        <v>0</v>
      </c>
      <c r="X48" s="155">
        <f>IF(X$9&lt;$F$7,(HLOOKUP(MONTH(X$41),'Weather Calculation'!$H$68:$S$81,12,TRUE)),0)</f>
        <v>0.5</v>
      </c>
      <c r="Y48" s="155">
        <f>IF(Y$9&lt;$F$7,(HLOOKUP(MONTH(Y$41),'Weather Calculation'!$H$68:$S$81,12,TRUE)),0)</f>
        <v>0</v>
      </c>
      <c r="Z48" s="155">
        <f>IF(Z$9&lt;$F$7,(HLOOKUP(MONTH(Z$41),'Weather Calculation'!$H$68:$S$81,12,TRUE)),0)</f>
        <v>0</v>
      </c>
      <c r="AA48" s="155">
        <f>IF(AA$9&lt;$F$7,(HLOOKUP(MONTH(AA$41),'Weather Calculation'!$H$68:$S$81,12,TRUE)),0)</f>
        <v>0</v>
      </c>
      <c r="AB48" s="155">
        <f>IF(AB$9&lt;$F$7,(HLOOKUP(MONTH(AB$41),'Weather Calculation'!$H$68:$S$81,12,TRUE)),0)</f>
        <v>0</v>
      </c>
      <c r="AC48" s="155">
        <f>IF(AC$9&lt;$F$7,(HLOOKUP(MONTH(AC$41),'Weather Calculation'!$H$68:$S$81,12,TRUE)),0)</f>
        <v>0</v>
      </c>
      <c r="AD48" s="155">
        <f>IF(AD$9&lt;$F$7,(HLOOKUP(MONTH(AD$41),'Weather Calculation'!$H$68:$S$81,12,TRUE)),0)</f>
        <v>0.5</v>
      </c>
      <c r="AE48" s="155">
        <f>IF(AE$9&lt;$F$7,(HLOOKUP(MONTH(AE$41),'Weather Calculation'!$H$68:$S$81,12,TRUE)),0)</f>
        <v>0</v>
      </c>
      <c r="AF48" s="155">
        <f>IF(AF$9&lt;$F$7,(HLOOKUP(MONTH(AF$41),'Weather Calculation'!$H$68:$S$81,12,TRUE)),0)</f>
        <v>0.5</v>
      </c>
      <c r="AG48" s="155">
        <f>IF(AG$9&lt;$F$7,(HLOOKUP(MONTH(AG$41),'Weather Calculation'!$H$68:$S$81,12,TRUE)),0)</f>
        <v>0</v>
      </c>
      <c r="AH48" s="155">
        <f>IF(AH$9&lt;$F$7,(HLOOKUP(MONTH(AH$41),'Weather Calculation'!$H$68:$S$81,12,TRUE)),0)</f>
        <v>0.5</v>
      </c>
      <c r="AI48" s="155">
        <f>IF(AI$9&lt;$F$7,(HLOOKUP(MONTH(AI$41),'Weather Calculation'!$H$68:$S$81,12,TRUE)),0)</f>
        <v>0</v>
      </c>
      <c r="AJ48" s="155">
        <f>IF(AJ$9&lt;$F$7,(HLOOKUP(MONTH(AJ$41),'Weather Calculation'!$H$68:$S$81,12,TRUE)),0)</f>
        <v>0.5</v>
      </c>
      <c r="AK48" s="155">
        <f>IF(AK$9&lt;$F$7,(HLOOKUP(MONTH(AK$41),'Weather Calculation'!$H$68:$S$81,12,TRUE)),0)</f>
        <v>0</v>
      </c>
      <c r="AL48" s="155">
        <f>IF(AL$9&lt;$F$7,(HLOOKUP(MONTH(AL$41),'Weather Calculation'!$H$68:$S$81,12,TRUE)),0)</f>
        <v>0</v>
      </c>
      <c r="AM48" s="155">
        <f>IF(AM$9&lt;$F$7,(HLOOKUP(MONTH(AM$41),'Weather Calculation'!$H$68:$S$81,12,TRUE)),0)</f>
        <v>0</v>
      </c>
      <c r="AN48" s="155">
        <f>IF(AN$9&lt;$F$7,(HLOOKUP(MONTH(AN$41),'Weather Calculation'!$H$68:$S$81,12,TRUE)),0)</f>
        <v>0</v>
      </c>
      <c r="AO48" s="155">
        <f>IF(AO$9&lt;$F$7,(HLOOKUP(MONTH(AO$41),'Weather Calculation'!$H$68:$S$81,12,TRUE)),0)</f>
        <v>0</v>
      </c>
      <c r="AP48" s="155">
        <f>IF(AP$9&lt;$F$7,(HLOOKUP(MONTH(AP$41),'Weather Calculation'!$H$68:$S$81,12,TRUE)),0)</f>
        <v>0.5</v>
      </c>
      <c r="AQ48" s="155">
        <f>IF(AQ$9&lt;$F$7,(HLOOKUP(MONTH(AQ$41),'Weather Calculation'!$H$68:$S$81,12,TRUE)),0)</f>
        <v>0</v>
      </c>
      <c r="AR48" s="155">
        <f>IF(AR$9&lt;$F$7,(HLOOKUP(MONTH(AR$41),'Weather Calculation'!$H$68:$S$81,12,TRUE)),0)</f>
        <v>0.5</v>
      </c>
      <c r="AS48" s="155">
        <f>IF(AS$9&lt;$F$7,(HLOOKUP(MONTH(AS$41),'Weather Calculation'!$H$68:$S$81,12,TRUE)),0)</f>
        <v>0</v>
      </c>
      <c r="AT48" s="155">
        <f>IF(AT$9&lt;$F$7,(HLOOKUP(MONTH(AT$41),'Weather Calculation'!$H$68:$S$81,12,TRUE)),0)</f>
        <v>0.5</v>
      </c>
      <c r="AU48" s="155">
        <f>IF(AU$9&lt;$F$7,(HLOOKUP(MONTH(AU$41),'Weather Calculation'!$H$68:$S$81,12,TRUE)),0)</f>
        <v>0</v>
      </c>
      <c r="AV48" s="155">
        <f>IF(AV$9&lt;$F$7,(HLOOKUP(MONTH(AV$41),'Weather Calculation'!$H$68:$S$81,12,TRUE)),0)</f>
        <v>0.5</v>
      </c>
      <c r="AW48" s="155">
        <f>IF(AW$9&lt;$F$7,(HLOOKUP(MONTH(AW$41),'Weather Calculation'!$H$68:$S$81,12,TRUE)),0)</f>
        <v>0</v>
      </c>
      <c r="AX48" s="155">
        <f>IF(AX$9&lt;$F$7,(HLOOKUP(MONTH(AX$41),'Weather Calculation'!$H$68:$S$81,12,TRUE)),0)</f>
        <v>0</v>
      </c>
      <c r="AY48" s="155">
        <f>IF(AY$9&lt;$F$7,(HLOOKUP(MONTH(AY$41),'Weather Calculation'!$H$68:$S$81,12,TRUE)),0)</f>
        <v>0</v>
      </c>
      <c r="AZ48" s="155">
        <f>IF(AZ$9&lt;$F$7,(HLOOKUP(MONTH(AZ$41),'Weather Calculation'!$H$68:$S$81,12,TRUE)),0)</f>
        <v>0</v>
      </c>
      <c r="BA48" s="155">
        <f>IF(BA$9&lt;$F$7,(HLOOKUP(MONTH(BA$41),'Weather Calculation'!$H$68:$S$81,12,TRUE)),0)</f>
        <v>0</v>
      </c>
      <c r="BB48" s="155">
        <f>IF(BB$9&lt;$F$7,(HLOOKUP(MONTH(BB$41),'Weather Calculation'!$H$68:$S$81,12,TRUE)),0)</f>
        <v>0</v>
      </c>
      <c r="BC48" s="155">
        <f>IF(BC$9&lt;$F$7,(HLOOKUP(MONTH(BC$41),'Weather Calculation'!$H$68:$S$81,12,TRUE)),0)</f>
        <v>0</v>
      </c>
      <c r="BD48" s="155">
        <f>IF(BD$9&lt;$F$7,(HLOOKUP(MONTH(BD$41),'Weather Calculation'!$H$68:$S$81,12,TRUE)),0)</f>
        <v>0</v>
      </c>
      <c r="BE48" s="155">
        <f>IF(BE$9&lt;$F$7,(HLOOKUP(MONTH(BE$41),'Weather Calculation'!$H$68:$S$81,12,TRUE)),0)</f>
        <v>0</v>
      </c>
      <c r="BF48" s="155">
        <f>IF(BF$9&lt;$F$7,(HLOOKUP(MONTH(BF$41),'Weather Calculation'!$H$68:$S$81,12,TRUE)),0)</f>
        <v>0</v>
      </c>
      <c r="BG48" s="155">
        <f>IF(BG$9&lt;$F$7,(HLOOKUP(MONTH(BG$41),'Weather Calculation'!$H$68:$S$81,12,TRUE)),0)</f>
        <v>0</v>
      </c>
      <c r="BH48" s="155">
        <f>IF(BH$9&lt;$F$7,(HLOOKUP(MONTH(BH$41),'Weather Calculation'!$H$68:$S$81,12,TRUE)),0)</f>
        <v>0</v>
      </c>
      <c r="BI48" s="155">
        <f>IF(BI$9&lt;$F$7,(HLOOKUP(MONTH(BI$41),'Weather Calculation'!$H$68:$S$81,12,TRUE)),0)</f>
        <v>0</v>
      </c>
      <c r="BJ48" s="155">
        <f>IF(BJ$9&lt;$F$7,(HLOOKUP(MONTH(BJ$41),'Weather Calculation'!$H$68:$S$81,12,TRUE)),0)</f>
        <v>0</v>
      </c>
      <c r="BK48" s="155">
        <f>IF(BK$9&lt;$F$7,(HLOOKUP(MONTH(BK$41),'Weather Calculation'!$H$68:$S$81,12,TRUE)),0)</f>
        <v>0</v>
      </c>
      <c r="BL48" s="155">
        <f>IF(BL$9&lt;$F$7,(HLOOKUP(MONTH(BL$41),'Weather Calculation'!$H$68:$S$81,12,TRUE)),0)</f>
        <v>0</v>
      </c>
      <c r="BM48" s="155">
        <f>IF(BM$9&lt;$F$7,(HLOOKUP(MONTH(BM$41),'Weather Calculation'!$H$68:$S$81,12,TRUE)),0)</f>
        <v>0</v>
      </c>
      <c r="BN48" s="155">
        <f>IF(BN$9&lt;$F$7,(HLOOKUP(MONTH(BN$41),'Weather Calculation'!$H$68:$S$81,12,TRUE)),0)</f>
        <v>0</v>
      </c>
      <c r="BO48" s="155">
        <f>IF(BO$9&lt;$F$7,(HLOOKUP(MONTH(BO$41),'Weather Calculation'!$H$68:$S$81,12,TRUE)),0)</f>
        <v>0</v>
      </c>
      <c r="BP48" s="155">
        <f>IF(BP$9&lt;$F$7,(HLOOKUP(MONTH(BP$41),'Weather Calculation'!$H$68:$S$81,12,TRUE)),0)</f>
        <v>0</v>
      </c>
      <c r="BQ48" s="155">
        <f>IF(BQ$9&lt;$F$7,(HLOOKUP(MONTH(BQ$41),'Weather Calculation'!$H$68:$S$81,12,TRUE)),0)</f>
        <v>0</v>
      </c>
      <c r="BR48" s="155">
        <f>IF(BR$9&lt;$F$7,(HLOOKUP(MONTH(BR$41),'Weather Calculation'!$H$68:$S$81,12,TRUE)),0)</f>
        <v>0</v>
      </c>
      <c r="BS48" s="155">
        <f>IF(BS$9&lt;$F$7,(HLOOKUP(MONTH(BS$41),'Weather Calculation'!$H$68:$S$81,12,TRUE)),0)</f>
        <v>0</v>
      </c>
      <c r="BT48" s="155">
        <f>IF(BT$9&lt;$F$7,(HLOOKUP(MONTH(BT$41),'Weather Calculation'!$H$68:$S$81,12,TRUE)),0)</f>
        <v>0</v>
      </c>
      <c r="BU48" s="155">
        <f>IF(BU$9&lt;$F$7,(HLOOKUP(MONTH(BU$41),'Weather Calculation'!$H$68:$S$81,12,TRUE)),0)</f>
        <v>0</v>
      </c>
      <c r="BV48" s="155">
        <f>IF(BV$9&lt;$F$7,(HLOOKUP(MONTH(BV$41),'Weather Calculation'!$H$68:$S$81,12,TRUE)),0)</f>
        <v>0</v>
      </c>
      <c r="BW48" s="155">
        <f>IF(BW$9&lt;$F$7,(HLOOKUP(MONTH(BW$41),'Weather Calculation'!$H$68:$S$81,12,TRUE)),0)</f>
        <v>0</v>
      </c>
      <c r="BX48" s="155">
        <f>IF(BX$9&lt;$F$7,(HLOOKUP(MONTH(BX$41),'Weather Calculation'!$H$68:$S$81,12,TRUE)),0)</f>
        <v>0</v>
      </c>
      <c r="BY48" s="155">
        <f>IF(BY$9&lt;$F$7,(HLOOKUP(MONTH(BY$41),'Weather Calculation'!$H$68:$S$81,12,TRUE)),0)</f>
        <v>0</v>
      </c>
      <c r="BZ48" s="155">
        <f>IF(BZ$9&lt;$F$7,(HLOOKUP(MONTH(BZ$41),'Weather Calculation'!$H$68:$S$81,12,TRUE)),0)</f>
        <v>0</v>
      </c>
      <c r="CA48" s="155">
        <f>IF(CA$9&lt;$F$7,(HLOOKUP(MONTH(CA$41),'Weather Calculation'!$H$68:$S$81,12,TRUE)),0)</f>
        <v>0</v>
      </c>
      <c r="CB48" s="155">
        <f>IF(CB$9&lt;$F$7,(HLOOKUP(MONTH(CB$41),'Weather Calculation'!$H$68:$S$81,12,TRUE)),0)</f>
        <v>0</v>
      </c>
      <c r="CC48" s="155">
        <f>IF(CC$9&lt;$F$7,(HLOOKUP(MONTH(CC$41),'Weather Calculation'!$H$68:$S$81,12,TRUE)),0)</f>
        <v>0</v>
      </c>
      <c r="CD48" s="155">
        <f>IF(CD$9&lt;$F$7,(HLOOKUP(MONTH(CD$41),'Weather Calculation'!$H$68:$S$81,12,TRUE)),0)</f>
        <v>0</v>
      </c>
      <c r="CE48" s="155">
        <f>IF(CE$9&lt;$F$7,(HLOOKUP(MONTH(CE$41),'Weather Calculation'!$H$68:$S$81,12,TRUE)),0)</f>
        <v>0</v>
      </c>
      <c r="CF48" s="155">
        <f>IF(CF$9&lt;$F$7,(HLOOKUP(MONTH(CF$41),'Weather Calculation'!$H$68:$S$81,12,TRUE)),0)</f>
        <v>0</v>
      </c>
      <c r="CG48" s="155">
        <f>IF(CG$9&lt;$F$7,(HLOOKUP(MONTH(CG$41),'Weather Calculation'!$H$68:$S$81,12,TRUE)),0)</f>
        <v>0</v>
      </c>
      <c r="CH48" s="155">
        <f>IF(CH$9&lt;$F$7,(HLOOKUP(MONTH(CH$41),'Weather Calculation'!$H$68:$S$81,12,TRUE)),0)</f>
        <v>0</v>
      </c>
      <c r="CI48" s="155">
        <f>IF(CI$9&lt;$F$7,(HLOOKUP(MONTH(CI$41),'Weather Calculation'!$H$68:$S$81,12,TRUE)),0)</f>
        <v>0</v>
      </c>
      <c r="CJ48" s="155">
        <f>IF(CJ$9&lt;$F$7,(HLOOKUP(MONTH(CJ$41),'Weather Calculation'!$H$68:$S$81,12,TRUE)),0)</f>
        <v>0</v>
      </c>
      <c r="CK48" s="155">
        <f>IF(CK$9&lt;$F$7,(HLOOKUP(MONTH(CK$41),'Weather Calculation'!$H$68:$S$81,12,TRUE)),0)</f>
        <v>0</v>
      </c>
      <c r="CL48" s="155">
        <f>IF(CL$9&lt;$F$7,(HLOOKUP(MONTH(CL$41),'Weather Calculation'!$H$68:$S$81,12,TRUE)),0)</f>
        <v>0</v>
      </c>
      <c r="CM48" s="155">
        <f>IF(CM$9&lt;$F$7,(HLOOKUP(MONTH(CM$41),'Weather Calculation'!$H$68:$S$81,12,TRUE)),0)</f>
        <v>0</v>
      </c>
      <c r="CN48" s="155">
        <f>IF(CN$9&lt;$F$7,(HLOOKUP(MONTH(CN$41),'Weather Calculation'!$H$68:$S$81,12,TRUE)),0)</f>
        <v>0</v>
      </c>
      <c r="CO48" s="155">
        <f>IF(CO$9&lt;$F$7,(HLOOKUP(MONTH(CO$41),'Weather Calculation'!$H$68:$S$81,12,TRUE)),0)</f>
        <v>0</v>
      </c>
      <c r="CP48" s="155">
        <f>IF(CP$9&lt;$F$7,(HLOOKUP(MONTH(CP$41),'Weather Calculation'!$H$68:$S$81,12,TRUE)),0)</f>
        <v>0</v>
      </c>
      <c r="CQ48" s="155">
        <f>IF(CQ$9&lt;$F$7,(HLOOKUP(MONTH(CQ$41),'Weather Calculation'!$H$68:$S$81,12,TRUE)),0)</f>
        <v>0</v>
      </c>
      <c r="CR48" s="155">
        <f>IF(CR$9&lt;$F$7,(HLOOKUP(MONTH(CR$41),'Weather Calculation'!$H$68:$S$81,12,TRUE)),0)</f>
        <v>0</v>
      </c>
      <c r="CS48" s="155">
        <f>IF(CS$9&lt;$F$7,(HLOOKUP(MONTH(CS$41),'Weather Calculation'!$H$68:$S$81,12,TRUE)),0)</f>
        <v>0</v>
      </c>
      <c r="CT48" s="155">
        <f>IF(CT$9&lt;$F$7,(HLOOKUP(MONTH(CT$41),'Weather Calculation'!$H$68:$S$81,12,TRUE)),0)</f>
        <v>0</v>
      </c>
      <c r="CU48" s="155">
        <f>IF(CU$9&lt;$F$7,(HLOOKUP(MONTH(CU$41),'Weather Calculation'!$H$68:$S$81,12,TRUE)),0)</f>
        <v>0</v>
      </c>
      <c r="CV48" s="155">
        <f>IF(CV$9&lt;$F$7,(HLOOKUP(MONTH(CV$41),'Weather Calculation'!$H$68:$S$81,12,TRUE)),0)</f>
        <v>0</v>
      </c>
      <c r="CW48" s="155">
        <f>IF(CW$9&lt;$F$7,(HLOOKUP(MONTH(CW$41),'Weather Calculation'!$H$68:$S$81,12,TRUE)),0)</f>
        <v>0</v>
      </c>
      <c r="CX48" s="155">
        <f>IF(CX$9&lt;$F$7,(HLOOKUP(MONTH(CX$41),'Weather Calculation'!$H$68:$S$81,12,TRUE)),0)</f>
        <v>0</v>
      </c>
      <c r="CY48" s="155">
        <f>IF(CY$9&lt;$F$7,(HLOOKUP(MONTH(CY$41),'Weather Calculation'!$H$68:$S$81,12,TRUE)),0)</f>
        <v>0</v>
      </c>
      <c r="CZ48" s="155">
        <f>IF(CZ$9&lt;$F$7,(HLOOKUP(MONTH(CZ$41),'Weather Calculation'!$H$68:$S$81,12,TRUE)),0)</f>
        <v>0</v>
      </c>
      <c r="DA48" s="1"/>
      <c r="DB48" s="284"/>
    </row>
    <row r="49" spans="1:106" ht="15" customHeight="1" x14ac:dyDescent="0.35">
      <c r="A49" s="366" t="s">
        <v>27</v>
      </c>
      <c r="B49" s="367"/>
      <c r="C49" s="367"/>
      <c r="D49" s="368">
        <f t="shared" si="21"/>
        <v>0</v>
      </c>
      <c r="E49" s="369"/>
      <c r="F49" s="286"/>
      <c r="G49" s="126"/>
      <c r="H49" s="136"/>
      <c r="I49" s="155">
        <f>IF(I$9&lt;$F$7,(HLOOKUP(MONTH(I$41),'Weather Calculation'!$H$68:$S$81,13,TRUE)),0)</f>
        <v>0</v>
      </c>
      <c r="J49" s="145">
        <f>IF(J$9&lt;$F$7,(HLOOKUP(MONTH(J$41),'Weather Calculation'!$H$68:$S$81,13,TRUE)),0)</f>
        <v>0</v>
      </c>
      <c r="K49" s="145">
        <f>IF(K$9&lt;$F$7,(HLOOKUP(MONTH(K$41),'Weather Calculation'!$H$68:$S$81,13,TRUE)),0)</f>
        <v>0</v>
      </c>
      <c r="L49" s="145">
        <f>IF(L$9&lt;$F$7,(HLOOKUP(MONTH(L$41),'Weather Calculation'!$H$68:$S$81,13,TRUE)),0)</f>
        <v>0</v>
      </c>
      <c r="M49" s="145">
        <f>IF(M$9&lt;$F$7,(HLOOKUP(MONTH(M$41),'Weather Calculation'!$H$68:$S$81,13,TRUE)),0)</f>
        <v>0</v>
      </c>
      <c r="N49" s="145">
        <f>IF(N$9&lt;$F$7,(HLOOKUP(MONTH(N$41),'Weather Calculation'!$H$68:$S$81,13,TRUE)),0)</f>
        <v>0</v>
      </c>
      <c r="O49" s="145">
        <f>IF(O$9&lt;$F$7,(HLOOKUP(MONTH(O$41),'Weather Calculation'!$H$68:$S$81,13,TRUE)),0)</f>
        <v>0</v>
      </c>
      <c r="P49" s="145">
        <f>IF(P$9&lt;$F$7,(HLOOKUP(MONTH(P$41),'Weather Calculation'!$H$68:$S$81,13,TRUE)),0)</f>
        <v>0</v>
      </c>
      <c r="Q49" s="145">
        <f>IF(Q$9&lt;$F$7,(HLOOKUP(MONTH(Q$41),'Weather Calculation'!$H$68:$S$81,13,TRUE)),0)</f>
        <v>0</v>
      </c>
      <c r="R49" s="145">
        <f>IF(R$9&lt;$F$7,(HLOOKUP(MONTH(R$41),'Weather Calculation'!$H$68:$S$81,13,TRUE)),0)</f>
        <v>0</v>
      </c>
      <c r="S49" s="145">
        <f>IF(S$9&lt;$F$7,(HLOOKUP(MONTH(S$41),'Weather Calculation'!$H$68:$S$81,13,TRUE)),0)</f>
        <v>0</v>
      </c>
      <c r="T49" s="145">
        <f>IF(T$9&lt;$F$7,(HLOOKUP(MONTH(T$41),'Weather Calculation'!$H$68:$S$81,13,TRUE)),0)</f>
        <v>0</v>
      </c>
      <c r="U49" s="145">
        <f>IF(U$9&lt;$F$7,(HLOOKUP(MONTH(U$41),'Weather Calculation'!$H$68:$S$81,13,TRUE)),0)</f>
        <v>0</v>
      </c>
      <c r="V49" s="145">
        <f>IF(V$9&lt;$F$7,(HLOOKUP(MONTH(V$41),'Weather Calculation'!$H$68:$S$81,13,TRUE)),0)</f>
        <v>0</v>
      </c>
      <c r="W49" s="145">
        <f>IF(W$9&lt;$F$7,(HLOOKUP(MONTH(W$41),'Weather Calculation'!$H$68:$S$81,13,TRUE)),0)</f>
        <v>0</v>
      </c>
      <c r="X49" s="145">
        <f>IF(X$9&lt;$F$7,(HLOOKUP(MONTH(X$41),'Weather Calculation'!$H$68:$S$81,13,TRUE)),0)</f>
        <v>0</v>
      </c>
      <c r="Y49" s="145">
        <f>IF(Y$9&lt;$F$7,(HLOOKUP(MONTH(Y$41),'Weather Calculation'!$H$68:$S$81,13,TRUE)),0)</f>
        <v>0</v>
      </c>
      <c r="Z49" s="145">
        <f>IF(Z$9&lt;$F$7,(HLOOKUP(MONTH(Z$41),'Weather Calculation'!$H$68:$S$81,13,TRUE)),0)</f>
        <v>0</v>
      </c>
      <c r="AA49" s="145">
        <f>IF(AA$9&lt;$F$7,(HLOOKUP(MONTH(AA$41),'Weather Calculation'!$H$68:$S$81,13,TRUE)),0)</f>
        <v>0</v>
      </c>
      <c r="AB49" s="145">
        <f>IF(AB$9&lt;$F$7,(HLOOKUP(MONTH(AB$41),'Weather Calculation'!$H$68:$S$81,13,TRUE)),0)</f>
        <v>0</v>
      </c>
      <c r="AC49" s="145">
        <f>IF(AC$9&lt;$F$7,(HLOOKUP(MONTH(AC$41),'Weather Calculation'!$H$68:$S$81,13,TRUE)),0)</f>
        <v>0</v>
      </c>
      <c r="AD49" s="145">
        <f>IF(AD$9&lt;$F$7,(HLOOKUP(MONTH(AD$41),'Weather Calculation'!$H$68:$S$81,13,TRUE)),0)</f>
        <v>0</v>
      </c>
      <c r="AE49" s="145">
        <f>IF(AE$9&lt;$F$7,(HLOOKUP(MONTH(AE$41),'Weather Calculation'!$H$68:$S$81,13,TRUE)),0)</f>
        <v>0</v>
      </c>
      <c r="AF49" s="145">
        <f>IF(AF$9&lt;$F$7,(HLOOKUP(MONTH(AF$41),'Weather Calculation'!$H$68:$S$81,13,TRUE)),0)</f>
        <v>0</v>
      </c>
      <c r="AG49" s="145">
        <f>IF(AG$9&lt;$F$7,(HLOOKUP(MONTH(AG$41),'Weather Calculation'!$H$68:$S$81,13,TRUE)),0)</f>
        <v>0</v>
      </c>
      <c r="AH49" s="145">
        <f>IF(AH$9&lt;$F$7,(HLOOKUP(MONTH(AH$41),'Weather Calculation'!$H$68:$S$81,13,TRUE)),0)</f>
        <v>0</v>
      </c>
      <c r="AI49" s="145">
        <f>IF(AI$9&lt;$F$7,(HLOOKUP(MONTH(AI$41),'Weather Calculation'!$H$68:$S$81,13,TRUE)),0)</f>
        <v>0</v>
      </c>
      <c r="AJ49" s="145">
        <f>IF(AJ$9&lt;$F$7,(HLOOKUP(MONTH(AJ$41),'Weather Calculation'!$H$68:$S$81,13,TRUE)),0)</f>
        <v>0</v>
      </c>
      <c r="AK49" s="145">
        <f>IF(AK$9&lt;$F$7,(HLOOKUP(MONTH(AK$41),'Weather Calculation'!$H$68:$S$81,13,TRUE)),0)</f>
        <v>0</v>
      </c>
      <c r="AL49" s="145">
        <f>IF(AL$9&lt;$F$7,(HLOOKUP(MONTH(AL$41),'Weather Calculation'!$H$68:$S$81,13,TRUE)),0)</f>
        <v>0</v>
      </c>
      <c r="AM49" s="145">
        <f>IF(AM$9&lt;$F$7,(HLOOKUP(MONTH(AM$41),'Weather Calculation'!$H$68:$S$81,13,TRUE)),0)</f>
        <v>0</v>
      </c>
      <c r="AN49" s="145">
        <f>IF(AN$9&lt;$F$7,(HLOOKUP(MONTH(AN$41),'Weather Calculation'!$H$68:$S$81,13,TRUE)),0)</f>
        <v>0</v>
      </c>
      <c r="AO49" s="145">
        <f>IF(AO$9&lt;$F$7,(HLOOKUP(MONTH(AO$41),'Weather Calculation'!$H$68:$S$81,13,TRUE)),0)</f>
        <v>0</v>
      </c>
      <c r="AP49" s="145">
        <f>IF(AP$9&lt;$F$7,(HLOOKUP(MONTH(AP$41),'Weather Calculation'!$H$68:$S$81,13,TRUE)),0)</f>
        <v>0</v>
      </c>
      <c r="AQ49" s="145">
        <f>IF(AQ$9&lt;$F$7,(HLOOKUP(MONTH(AQ$41),'Weather Calculation'!$H$68:$S$81,13,TRUE)),0)</f>
        <v>0</v>
      </c>
      <c r="AR49" s="145">
        <f>IF(AR$9&lt;$F$7,(HLOOKUP(MONTH(AR$41),'Weather Calculation'!$H$68:$S$81,13,TRUE)),0)</f>
        <v>0</v>
      </c>
      <c r="AS49" s="145">
        <f>IF(AS$9&lt;$F$7,(HLOOKUP(MONTH(AS$41),'Weather Calculation'!$H$68:$S$81,13,TRUE)),0)</f>
        <v>0</v>
      </c>
      <c r="AT49" s="145">
        <f>IF(AT$9&lt;$F$7,(HLOOKUP(MONTH(AT$41),'Weather Calculation'!$H$68:$S$81,13,TRUE)),0)</f>
        <v>0</v>
      </c>
      <c r="AU49" s="145">
        <f>IF(AU$9&lt;$F$7,(HLOOKUP(MONTH(AU$41),'Weather Calculation'!$H$68:$S$81,13,TRUE)),0)</f>
        <v>0</v>
      </c>
      <c r="AV49" s="145">
        <f>IF(AV$9&lt;$F$7,(HLOOKUP(MONTH(AV$41),'Weather Calculation'!$H$68:$S$81,13,TRUE)),0)</f>
        <v>0</v>
      </c>
      <c r="AW49" s="145">
        <f>IF(AW$9&lt;$F$7,(HLOOKUP(MONTH(AW$41),'Weather Calculation'!$H$68:$S$81,13,TRUE)),0)</f>
        <v>0</v>
      </c>
      <c r="AX49" s="145">
        <f>IF(AX$9&lt;$F$7,(HLOOKUP(MONTH(AX$41),'Weather Calculation'!$H$68:$S$81,13,TRUE)),0)</f>
        <v>0</v>
      </c>
      <c r="AY49" s="145">
        <f>IF(AY$9&lt;$F$7,(HLOOKUP(MONTH(AY$41),'Weather Calculation'!$H$68:$S$81,13,TRUE)),0)</f>
        <v>0</v>
      </c>
      <c r="AZ49" s="145">
        <f>IF(AZ$9&lt;$F$7,(HLOOKUP(MONTH(AZ$41),'Weather Calculation'!$H$68:$S$81,13,TRUE)),0)</f>
        <v>0</v>
      </c>
      <c r="BA49" s="145">
        <f>IF(BA$9&lt;$F$7,(HLOOKUP(MONTH(BA$41),'Weather Calculation'!$H$68:$S$81,13,TRUE)),0)</f>
        <v>0</v>
      </c>
      <c r="BB49" s="145">
        <f>IF(BB$9&lt;$F$7,(HLOOKUP(MONTH(BB$41),'Weather Calculation'!$H$68:$S$81,13,TRUE)),0)</f>
        <v>0</v>
      </c>
      <c r="BC49" s="145">
        <f>IF(BC$9&lt;$F$7,(HLOOKUP(MONTH(BC$41),'Weather Calculation'!$H$68:$S$81,13,TRUE)),0)</f>
        <v>0</v>
      </c>
      <c r="BD49" s="145">
        <f>IF(BD$9&lt;$F$7,(HLOOKUP(MONTH(BD$41),'Weather Calculation'!$H$68:$S$81,13,TRUE)),0)</f>
        <v>0</v>
      </c>
      <c r="BE49" s="145">
        <f>IF(BE$9&lt;$F$7,(HLOOKUP(MONTH(BE$41),'Weather Calculation'!$H$68:$S$81,13,TRUE)),0)</f>
        <v>0</v>
      </c>
      <c r="BF49" s="145">
        <f>IF(BF$9&lt;$F$7,(HLOOKUP(MONTH(BF$41),'Weather Calculation'!$H$68:$S$81,13,TRUE)),0)</f>
        <v>0</v>
      </c>
      <c r="BG49" s="145">
        <f>IF(BG$9&lt;$F$7,(HLOOKUP(MONTH(BG$41),'Weather Calculation'!$H$68:$S$81,13,TRUE)),0)</f>
        <v>0</v>
      </c>
      <c r="BH49" s="145">
        <f>IF(BH$9&lt;$F$7,(HLOOKUP(MONTH(BH$41),'Weather Calculation'!$H$68:$S$81,13,TRUE)),0)</f>
        <v>0</v>
      </c>
      <c r="BI49" s="145">
        <f>IF(BI$9&lt;$F$7,(HLOOKUP(MONTH(BI$41),'Weather Calculation'!$H$68:$S$81,13,TRUE)),0)</f>
        <v>0</v>
      </c>
      <c r="BJ49" s="145">
        <f>IF(BJ$9&lt;$F$7,(HLOOKUP(MONTH(BJ$41),'Weather Calculation'!$H$68:$S$81,13,TRUE)),0)</f>
        <v>0</v>
      </c>
      <c r="BK49" s="145">
        <f>IF(BK$9&lt;$F$7,(HLOOKUP(MONTH(BK$41),'Weather Calculation'!$H$68:$S$81,13,TRUE)),0)</f>
        <v>0</v>
      </c>
      <c r="BL49" s="145">
        <f>IF(BL$9&lt;$F$7,(HLOOKUP(MONTH(BL$41),'Weather Calculation'!$H$68:$S$81,13,TRUE)),0)</f>
        <v>0</v>
      </c>
      <c r="BM49" s="145">
        <f>IF(BM$9&lt;$F$7,(HLOOKUP(MONTH(BM$41),'Weather Calculation'!$H$68:$S$81,13,TRUE)),0)</f>
        <v>0</v>
      </c>
      <c r="BN49" s="145">
        <f>IF(BN$9&lt;$F$7,(HLOOKUP(MONTH(BN$41),'Weather Calculation'!$H$68:$S$81,13,TRUE)),0)</f>
        <v>0</v>
      </c>
      <c r="BO49" s="145">
        <f>IF(BO$9&lt;$F$7,(HLOOKUP(MONTH(BO$41),'Weather Calculation'!$H$68:$S$81,13,TRUE)),0)</f>
        <v>0</v>
      </c>
      <c r="BP49" s="145">
        <f>IF(BP$9&lt;$F$7,(HLOOKUP(MONTH(BP$41),'Weather Calculation'!$H$68:$S$81,13,TRUE)),0)</f>
        <v>0</v>
      </c>
      <c r="BQ49" s="145">
        <f>IF(BQ$9&lt;$F$7,(HLOOKUP(MONTH(BQ$41),'Weather Calculation'!$H$68:$S$81,13,TRUE)),0)</f>
        <v>0</v>
      </c>
      <c r="BR49" s="145">
        <f>IF(BR$9&lt;$F$7,(HLOOKUP(MONTH(BR$41),'Weather Calculation'!$H$68:$S$81,13,TRUE)),0)</f>
        <v>0</v>
      </c>
      <c r="BS49" s="145">
        <f>IF(BS$9&lt;$F$7,(HLOOKUP(MONTH(BS$41),'Weather Calculation'!$H$68:$S$81,13,TRUE)),0)</f>
        <v>0</v>
      </c>
      <c r="BT49" s="145">
        <f>IF(BT$9&lt;$F$7,(HLOOKUP(MONTH(BT$41),'Weather Calculation'!$H$68:$S$81,13,TRUE)),0)</f>
        <v>0</v>
      </c>
      <c r="BU49" s="145">
        <f>IF(BU$9&lt;$F$7,(HLOOKUP(MONTH(BU$41),'Weather Calculation'!$H$68:$S$81,13,TRUE)),0)</f>
        <v>0</v>
      </c>
      <c r="BV49" s="145">
        <f>IF(BV$9&lt;$F$7,(HLOOKUP(MONTH(BV$41),'Weather Calculation'!$H$68:$S$81,13,TRUE)),0)</f>
        <v>0</v>
      </c>
      <c r="BW49" s="145">
        <f>IF(BW$9&lt;$F$7,(HLOOKUP(MONTH(BW$41),'Weather Calculation'!$H$68:$S$81,13,TRUE)),0)</f>
        <v>0</v>
      </c>
      <c r="BX49" s="145">
        <f>IF(BX$9&lt;$F$7,(HLOOKUP(MONTH(BX$41),'Weather Calculation'!$H$68:$S$81,13,TRUE)),0)</f>
        <v>0</v>
      </c>
      <c r="BY49" s="145">
        <f>IF(BY$9&lt;$F$7,(HLOOKUP(MONTH(BY$41),'Weather Calculation'!$H$68:$S$81,13,TRUE)),0)</f>
        <v>0</v>
      </c>
      <c r="BZ49" s="145">
        <f>IF(BZ$9&lt;$F$7,(HLOOKUP(MONTH(BZ$41),'Weather Calculation'!$H$68:$S$81,13,TRUE)),0)</f>
        <v>0</v>
      </c>
      <c r="CA49" s="145">
        <f>IF(CA$9&lt;$F$7,(HLOOKUP(MONTH(CA$41),'Weather Calculation'!$H$68:$S$81,13,TRUE)),0)</f>
        <v>0</v>
      </c>
      <c r="CB49" s="145">
        <f>IF(CB$9&lt;$F$7,(HLOOKUP(MONTH(CB$41),'Weather Calculation'!$H$68:$S$81,13,TRUE)),0)</f>
        <v>0</v>
      </c>
      <c r="CC49" s="145">
        <f>IF(CC$9&lt;$F$7,(HLOOKUP(MONTH(CC$41),'Weather Calculation'!$H$68:$S$81,13,TRUE)),0)</f>
        <v>0</v>
      </c>
      <c r="CD49" s="145">
        <f>IF(CD$9&lt;$F$7,(HLOOKUP(MONTH(CD$41),'Weather Calculation'!$H$68:$S$81,13,TRUE)),0)</f>
        <v>0</v>
      </c>
      <c r="CE49" s="145">
        <f>IF(CE$9&lt;$F$7,(HLOOKUP(MONTH(CE$41),'Weather Calculation'!$H$68:$S$81,13,TRUE)),0)</f>
        <v>0</v>
      </c>
      <c r="CF49" s="145">
        <f>IF(CF$9&lt;$F$7,(HLOOKUP(MONTH(CF$41),'Weather Calculation'!$H$68:$S$81,13,TRUE)),0)</f>
        <v>0</v>
      </c>
      <c r="CG49" s="145">
        <f>IF(CG$9&lt;$F$7,(HLOOKUP(MONTH(CG$41),'Weather Calculation'!$H$68:$S$81,13,TRUE)),0)</f>
        <v>0</v>
      </c>
      <c r="CH49" s="145">
        <f>IF(CH$9&lt;$F$7,(HLOOKUP(MONTH(CH$41),'Weather Calculation'!$H$68:$S$81,13,TRUE)),0)</f>
        <v>0</v>
      </c>
      <c r="CI49" s="145">
        <f>IF(CI$9&lt;$F$7,(HLOOKUP(MONTH(CI$41),'Weather Calculation'!$H$68:$S$81,13,TRUE)),0)</f>
        <v>0</v>
      </c>
      <c r="CJ49" s="145">
        <f>IF(CJ$9&lt;$F$7,(HLOOKUP(MONTH(CJ$41),'Weather Calculation'!$H$68:$S$81,13,TRUE)),0)</f>
        <v>0</v>
      </c>
      <c r="CK49" s="145">
        <f>IF(CK$9&lt;$F$7,(HLOOKUP(MONTH(CK$41),'Weather Calculation'!$H$68:$S$81,13,TRUE)),0)</f>
        <v>0</v>
      </c>
      <c r="CL49" s="145">
        <f>IF(CL$9&lt;$F$7,(HLOOKUP(MONTH(CL$41),'Weather Calculation'!$H$68:$S$81,13,TRUE)),0)</f>
        <v>0</v>
      </c>
      <c r="CM49" s="145">
        <f>IF(CM$9&lt;$F$7,(HLOOKUP(MONTH(CM$41),'Weather Calculation'!$H$68:$S$81,13,TRUE)),0)</f>
        <v>0</v>
      </c>
      <c r="CN49" s="145">
        <f>IF(CN$9&lt;$F$7,(HLOOKUP(MONTH(CN$41),'Weather Calculation'!$H$68:$S$81,13,TRUE)),0)</f>
        <v>0</v>
      </c>
      <c r="CO49" s="145">
        <f>IF(CO$9&lt;$F$7,(HLOOKUP(MONTH(CO$41),'Weather Calculation'!$H$68:$S$81,13,TRUE)),0)</f>
        <v>0</v>
      </c>
      <c r="CP49" s="145">
        <f>IF(CP$9&lt;$F$7,(HLOOKUP(MONTH(CP$41),'Weather Calculation'!$H$68:$S$81,13,TRUE)),0)</f>
        <v>0</v>
      </c>
      <c r="CQ49" s="145">
        <f>IF(CQ$9&lt;$F$7,(HLOOKUP(MONTH(CQ$41),'Weather Calculation'!$H$68:$S$81,13,TRUE)),0)</f>
        <v>0</v>
      </c>
      <c r="CR49" s="145">
        <f>IF(CR$9&lt;$F$7,(HLOOKUP(MONTH(CR$41),'Weather Calculation'!$H$68:$S$81,13,TRUE)),0)</f>
        <v>0</v>
      </c>
      <c r="CS49" s="145">
        <f>IF(CS$9&lt;$F$7,(HLOOKUP(MONTH(CS$41),'Weather Calculation'!$H$68:$S$81,13,TRUE)),0)</f>
        <v>0</v>
      </c>
      <c r="CT49" s="145">
        <f>IF(CT$9&lt;$F$7,(HLOOKUP(MONTH(CT$41),'Weather Calculation'!$H$68:$S$81,13,TRUE)),0)</f>
        <v>0</v>
      </c>
      <c r="CU49" s="145">
        <f>IF(CU$9&lt;$F$7,(HLOOKUP(MONTH(CU$41),'Weather Calculation'!$H$68:$S$81,13,TRUE)),0)</f>
        <v>0</v>
      </c>
      <c r="CV49" s="145">
        <f>IF(CV$9&lt;$F$7,(HLOOKUP(MONTH(CV$41),'Weather Calculation'!$H$68:$S$81,13,TRUE)),0)</f>
        <v>0</v>
      </c>
      <c r="CW49" s="145">
        <f>IF(CW$9&lt;$F$7,(HLOOKUP(MONTH(CW$41),'Weather Calculation'!$H$68:$S$81,13,TRUE)),0)</f>
        <v>0</v>
      </c>
      <c r="CX49" s="145">
        <f>IF(CX$9&lt;$F$7,(HLOOKUP(MONTH(CX$41),'Weather Calculation'!$H$68:$S$81,13,TRUE)),0)</f>
        <v>0</v>
      </c>
      <c r="CY49" s="145">
        <f>IF(CY$9&lt;$F$7,(HLOOKUP(MONTH(CY$41),'Weather Calculation'!$H$68:$S$81,13,TRUE)),0)</f>
        <v>0</v>
      </c>
      <c r="CZ49" s="145">
        <f>IF(CZ$9&lt;$F$7,(HLOOKUP(MONTH(CZ$41),'Weather Calculation'!$H$68:$S$81,13,TRUE)),0)</f>
        <v>0</v>
      </c>
      <c r="DA49" s="1"/>
      <c r="DB49" s="284"/>
    </row>
    <row r="50" spans="1:106" ht="15" customHeight="1" thickBot="1" x14ac:dyDescent="0.4">
      <c r="A50" s="370" t="s">
        <v>28</v>
      </c>
      <c r="B50" s="371"/>
      <c r="C50" s="371"/>
      <c r="D50" s="372">
        <f t="shared" si="21"/>
        <v>0</v>
      </c>
      <c r="E50" s="373"/>
      <c r="F50" s="287"/>
      <c r="G50" s="127"/>
      <c r="H50" s="137"/>
      <c r="I50" s="155">
        <f>IF(I$9&lt;$F$7,(HLOOKUP(MONTH(I$41),'Weather Calculation'!$H$68:$S$81,14,TRUE)),0)</f>
        <v>0</v>
      </c>
      <c r="J50" s="145">
        <f>IF(J$9&lt;$F$7,(HLOOKUP(MONTH(J$41),'Weather Calculation'!$H$68:$S$81,14,TRUE)),0)</f>
        <v>0</v>
      </c>
      <c r="K50" s="145">
        <f>IF(K$9&lt;$F$7,(HLOOKUP(MONTH(K$41),'Weather Calculation'!$H$68:$S$81,14,TRUE)),0)</f>
        <v>0</v>
      </c>
      <c r="L50" s="145">
        <f>IF(L$9&lt;$F$7,(HLOOKUP(MONTH(L$41),'Weather Calculation'!$H$68:$S$81,14,TRUE)),0)</f>
        <v>0</v>
      </c>
      <c r="M50" s="145">
        <f>IF(M$9&lt;$F$7,(HLOOKUP(MONTH(M$41),'Weather Calculation'!$H$68:$S$81,14,TRUE)),0)</f>
        <v>0</v>
      </c>
      <c r="N50" s="145">
        <f>IF(N$9&lt;$F$7,(HLOOKUP(MONTH(N$41),'Weather Calculation'!$H$68:$S$81,14,TRUE)),0)</f>
        <v>0</v>
      </c>
      <c r="O50" s="145">
        <f>IF(O$9&lt;$F$7,(HLOOKUP(MONTH(O$41),'Weather Calculation'!$H$68:$S$81,14,TRUE)),0)</f>
        <v>0</v>
      </c>
      <c r="P50" s="145">
        <f>IF(P$9&lt;$F$7,(HLOOKUP(MONTH(P$41),'Weather Calculation'!$H$68:$S$81,14,TRUE)),0)</f>
        <v>0</v>
      </c>
      <c r="Q50" s="145">
        <f>IF(Q$9&lt;$F$7,(HLOOKUP(MONTH(Q$41),'Weather Calculation'!$H$68:$S$81,14,TRUE)),0)</f>
        <v>0</v>
      </c>
      <c r="R50" s="145">
        <f>IF(R$9&lt;$F$7,(HLOOKUP(MONTH(R$41),'Weather Calculation'!$H$68:$S$81,14,TRUE)),0)</f>
        <v>0</v>
      </c>
      <c r="S50" s="145">
        <f>IF(S$9&lt;$F$7,(HLOOKUP(MONTH(S$41),'Weather Calculation'!$H$68:$S$81,14,TRUE)),0)</f>
        <v>0</v>
      </c>
      <c r="T50" s="145">
        <f>IF(T$9&lt;$F$7,(HLOOKUP(MONTH(T$41),'Weather Calculation'!$H$68:$S$81,14,TRUE)),0)</f>
        <v>0</v>
      </c>
      <c r="U50" s="145">
        <f>IF(U$9&lt;$F$7,(HLOOKUP(MONTH(U$41),'Weather Calculation'!$H$68:$S$81,14,TRUE)),0)</f>
        <v>0</v>
      </c>
      <c r="V50" s="145">
        <f>IF(V$9&lt;$F$7,(HLOOKUP(MONTH(V$41),'Weather Calculation'!$H$68:$S$81,14,TRUE)),0)</f>
        <v>0</v>
      </c>
      <c r="W50" s="145">
        <f>IF(W$9&lt;$F$7,(HLOOKUP(MONTH(W$41),'Weather Calculation'!$H$68:$S$81,14,TRUE)),0)</f>
        <v>0</v>
      </c>
      <c r="X50" s="145">
        <f>IF(X$9&lt;$F$7,(HLOOKUP(MONTH(X$41),'Weather Calculation'!$H$68:$S$81,14,TRUE)),0)</f>
        <v>0</v>
      </c>
      <c r="Y50" s="145">
        <f>IF(Y$9&lt;$F$7,(HLOOKUP(MONTH(Y$41),'Weather Calculation'!$H$68:$S$81,14,TRUE)),0)</f>
        <v>0</v>
      </c>
      <c r="Z50" s="145">
        <f>IF(Z$9&lt;$F$7,(HLOOKUP(MONTH(Z$41),'Weather Calculation'!$H$68:$S$81,14,TRUE)),0)</f>
        <v>0</v>
      </c>
      <c r="AA50" s="145">
        <f>IF(AA$9&lt;$F$7,(HLOOKUP(MONTH(AA$41),'Weather Calculation'!$H$68:$S$81,14,TRUE)),0)</f>
        <v>0</v>
      </c>
      <c r="AB50" s="145">
        <f>IF(AB$9&lt;$F$7,(HLOOKUP(MONTH(AB$41),'Weather Calculation'!$H$68:$S$81,14,TRUE)),0)</f>
        <v>0</v>
      </c>
      <c r="AC50" s="145">
        <f>IF(AC$9&lt;$F$7,(HLOOKUP(MONTH(AC$41),'Weather Calculation'!$H$68:$S$81,14,TRUE)),0)</f>
        <v>0</v>
      </c>
      <c r="AD50" s="145">
        <f>IF(AD$9&lt;$F$7,(HLOOKUP(MONTH(AD$41),'Weather Calculation'!$H$68:$S$81,14,TRUE)),0)</f>
        <v>0</v>
      </c>
      <c r="AE50" s="145">
        <f>IF(AE$9&lt;$F$7,(HLOOKUP(MONTH(AE$41),'Weather Calculation'!$H$68:$S$81,14,TRUE)),0)</f>
        <v>0</v>
      </c>
      <c r="AF50" s="145">
        <f>IF(AF$9&lt;$F$7,(HLOOKUP(MONTH(AF$41),'Weather Calculation'!$H$68:$S$81,14,TRUE)),0)</f>
        <v>0</v>
      </c>
      <c r="AG50" s="145">
        <f>IF(AG$9&lt;$F$7,(HLOOKUP(MONTH(AG$41),'Weather Calculation'!$H$68:$S$81,14,TRUE)),0)</f>
        <v>0</v>
      </c>
      <c r="AH50" s="145">
        <f>IF(AH$9&lt;$F$7,(HLOOKUP(MONTH(AH$41),'Weather Calculation'!$H$68:$S$81,14,TRUE)),0)</f>
        <v>0</v>
      </c>
      <c r="AI50" s="145">
        <f>IF(AI$9&lt;$F$7,(HLOOKUP(MONTH(AI$41),'Weather Calculation'!$H$68:$S$81,14,TRUE)),0)</f>
        <v>0</v>
      </c>
      <c r="AJ50" s="145">
        <f>IF(AJ$9&lt;$F$7,(HLOOKUP(MONTH(AJ$41),'Weather Calculation'!$H$68:$S$81,14,TRUE)),0)</f>
        <v>0</v>
      </c>
      <c r="AK50" s="145">
        <f>IF(AK$9&lt;$F$7,(HLOOKUP(MONTH(AK$41),'Weather Calculation'!$H$68:$S$81,14,TRUE)),0)</f>
        <v>0</v>
      </c>
      <c r="AL50" s="145">
        <f>IF(AL$9&lt;$F$7,(HLOOKUP(MONTH(AL$41),'Weather Calculation'!$H$68:$S$81,14,TRUE)),0)</f>
        <v>0</v>
      </c>
      <c r="AM50" s="145">
        <f>IF(AM$9&lt;$F$7,(HLOOKUP(MONTH(AM$41),'Weather Calculation'!$H$68:$S$81,14,TRUE)),0)</f>
        <v>0</v>
      </c>
      <c r="AN50" s="145">
        <f>IF(AN$9&lt;$F$7,(HLOOKUP(MONTH(AN$41),'Weather Calculation'!$H$68:$S$81,14,TRUE)),0)</f>
        <v>0</v>
      </c>
      <c r="AO50" s="145">
        <f>IF(AO$9&lt;$F$7,(HLOOKUP(MONTH(AO$41),'Weather Calculation'!$H$68:$S$81,14,TRUE)),0)</f>
        <v>0</v>
      </c>
      <c r="AP50" s="145">
        <f>IF(AP$9&lt;$F$7,(HLOOKUP(MONTH(AP$41),'Weather Calculation'!$H$68:$S$81,14,TRUE)),0)</f>
        <v>0</v>
      </c>
      <c r="AQ50" s="145">
        <f>IF(AQ$9&lt;$F$7,(HLOOKUP(MONTH(AQ$41),'Weather Calculation'!$H$68:$S$81,14,TRUE)),0)</f>
        <v>0</v>
      </c>
      <c r="AR50" s="145">
        <f>IF(AR$9&lt;$F$7,(HLOOKUP(MONTH(AR$41),'Weather Calculation'!$H$68:$S$81,14,TRUE)),0)</f>
        <v>0</v>
      </c>
      <c r="AS50" s="145">
        <f>IF(AS$9&lt;$F$7,(HLOOKUP(MONTH(AS$41),'Weather Calculation'!$H$68:$S$81,14,TRUE)),0)</f>
        <v>0</v>
      </c>
      <c r="AT50" s="145">
        <f>IF(AT$9&lt;$F$7,(HLOOKUP(MONTH(AT$41),'Weather Calculation'!$H$68:$S$81,14,TRUE)),0)</f>
        <v>0</v>
      </c>
      <c r="AU50" s="145">
        <f>IF(AU$9&lt;$F$7,(HLOOKUP(MONTH(AU$41),'Weather Calculation'!$H$68:$S$81,14,TRUE)),0)</f>
        <v>0</v>
      </c>
      <c r="AV50" s="145">
        <f>IF(AV$9&lt;$F$7,(HLOOKUP(MONTH(AV$41),'Weather Calculation'!$H$68:$S$81,14,TRUE)),0)</f>
        <v>0</v>
      </c>
      <c r="AW50" s="145">
        <f>IF(AW$9&lt;$F$7,(HLOOKUP(MONTH(AW$41),'Weather Calculation'!$H$68:$S$81,14,TRUE)),0)</f>
        <v>0</v>
      </c>
      <c r="AX50" s="145">
        <f>IF(AX$9&lt;$F$7,(HLOOKUP(MONTH(AX$41),'Weather Calculation'!$H$68:$S$81,14,TRUE)),0)</f>
        <v>0</v>
      </c>
      <c r="AY50" s="145">
        <f>IF(AY$9&lt;$F$7,(HLOOKUP(MONTH(AY$41),'Weather Calculation'!$H$68:$S$81,14,TRUE)),0)</f>
        <v>0</v>
      </c>
      <c r="AZ50" s="145">
        <f>IF(AZ$9&lt;$F$7,(HLOOKUP(MONTH(AZ$41),'Weather Calculation'!$H$68:$S$81,14,TRUE)),0)</f>
        <v>0</v>
      </c>
      <c r="BA50" s="145">
        <f>IF(BA$9&lt;$F$7,(HLOOKUP(MONTH(BA$41),'Weather Calculation'!$H$68:$S$81,14,TRUE)),0)</f>
        <v>0</v>
      </c>
      <c r="BB50" s="145">
        <f>IF(BB$9&lt;$F$7,(HLOOKUP(MONTH(BB$41),'Weather Calculation'!$H$68:$S$81,14,TRUE)),0)</f>
        <v>0</v>
      </c>
      <c r="BC50" s="145">
        <f>IF(BC$9&lt;$F$7,(HLOOKUP(MONTH(BC$41),'Weather Calculation'!$H$68:$S$81,14,TRUE)),0)</f>
        <v>0</v>
      </c>
      <c r="BD50" s="145">
        <f>IF(BD$9&lt;$F$7,(HLOOKUP(MONTH(BD$41),'Weather Calculation'!$H$68:$S$81,14,TRUE)),0)</f>
        <v>0</v>
      </c>
      <c r="BE50" s="145">
        <f>IF(BE$9&lt;$F$7,(HLOOKUP(MONTH(BE$41),'Weather Calculation'!$H$68:$S$81,14,TRUE)),0)</f>
        <v>0</v>
      </c>
      <c r="BF50" s="145">
        <f>IF(BF$9&lt;$F$7,(HLOOKUP(MONTH(BF$41),'Weather Calculation'!$H$68:$S$81,14,TRUE)),0)</f>
        <v>0</v>
      </c>
      <c r="BG50" s="145">
        <f>IF(BG$9&lt;$F$7,(HLOOKUP(MONTH(BG$41),'Weather Calculation'!$H$68:$S$81,14,TRUE)),0)</f>
        <v>0</v>
      </c>
      <c r="BH50" s="145">
        <f>IF(BH$9&lt;$F$7,(HLOOKUP(MONTH(BH$41),'Weather Calculation'!$H$68:$S$81,14,TRUE)),0)</f>
        <v>0</v>
      </c>
      <c r="BI50" s="145">
        <f>IF(BI$9&lt;$F$7,(HLOOKUP(MONTH(BI$41),'Weather Calculation'!$H$68:$S$81,14,TRUE)),0)</f>
        <v>0</v>
      </c>
      <c r="BJ50" s="145">
        <f>IF(BJ$9&lt;$F$7,(HLOOKUP(MONTH(BJ$41),'Weather Calculation'!$H$68:$S$81,14,TRUE)),0)</f>
        <v>0</v>
      </c>
      <c r="BK50" s="145">
        <f>IF(BK$9&lt;$F$7,(HLOOKUP(MONTH(BK$41),'Weather Calculation'!$H$68:$S$81,14,TRUE)),0)</f>
        <v>0</v>
      </c>
      <c r="BL50" s="145">
        <f>IF(BL$9&lt;$F$7,(HLOOKUP(MONTH(BL$41),'Weather Calculation'!$H$68:$S$81,14,TRUE)),0)</f>
        <v>0</v>
      </c>
      <c r="BM50" s="145">
        <f>IF(BM$9&lt;$F$7,(HLOOKUP(MONTH(BM$41),'Weather Calculation'!$H$68:$S$81,14,TRUE)),0)</f>
        <v>0</v>
      </c>
      <c r="BN50" s="145">
        <f>IF(BN$9&lt;$F$7,(HLOOKUP(MONTH(BN$41),'Weather Calculation'!$H$68:$S$81,14,TRUE)),0)</f>
        <v>0</v>
      </c>
      <c r="BO50" s="145">
        <f>IF(BO$9&lt;$F$7,(HLOOKUP(MONTH(BO$41),'Weather Calculation'!$H$68:$S$81,14,TRUE)),0)</f>
        <v>0</v>
      </c>
      <c r="BP50" s="145">
        <f>IF(BP$9&lt;$F$7,(HLOOKUP(MONTH(BP$41),'Weather Calculation'!$H$68:$S$81,14,TRUE)),0)</f>
        <v>0</v>
      </c>
      <c r="BQ50" s="145">
        <f>IF(BQ$9&lt;$F$7,(HLOOKUP(MONTH(BQ$41),'Weather Calculation'!$H$68:$S$81,14,TRUE)),0)</f>
        <v>0</v>
      </c>
      <c r="BR50" s="145">
        <f>IF(BR$9&lt;$F$7,(HLOOKUP(MONTH(BR$41),'Weather Calculation'!$H$68:$S$81,14,TRUE)),0)</f>
        <v>0</v>
      </c>
      <c r="BS50" s="145">
        <f>IF(BS$9&lt;$F$7,(HLOOKUP(MONTH(BS$41),'Weather Calculation'!$H$68:$S$81,14,TRUE)),0)</f>
        <v>0</v>
      </c>
      <c r="BT50" s="145">
        <f>IF(BT$9&lt;$F$7,(HLOOKUP(MONTH(BT$41),'Weather Calculation'!$H$68:$S$81,14,TRUE)),0)</f>
        <v>0</v>
      </c>
      <c r="BU50" s="145">
        <f>IF(BU$9&lt;$F$7,(HLOOKUP(MONTH(BU$41),'Weather Calculation'!$H$68:$S$81,14,TRUE)),0)</f>
        <v>0</v>
      </c>
      <c r="BV50" s="145">
        <f>IF(BV$9&lt;$F$7,(HLOOKUP(MONTH(BV$41),'Weather Calculation'!$H$68:$S$81,14,TRUE)),0)</f>
        <v>0</v>
      </c>
      <c r="BW50" s="145">
        <f>IF(BW$9&lt;$F$7,(HLOOKUP(MONTH(BW$41),'Weather Calculation'!$H$68:$S$81,14,TRUE)),0)</f>
        <v>0</v>
      </c>
      <c r="BX50" s="145">
        <f>IF(BX$9&lt;$F$7,(HLOOKUP(MONTH(BX$41),'Weather Calculation'!$H$68:$S$81,14,TRUE)),0)</f>
        <v>0</v>
      </c>
      <c r="BY50" s="145">
        <f>IF(BY$9&lt;$F$7,(HLOOKUP(MONTH(BY$41),'Weather Calculation'!$H$68:$S$81,14,TRUE)),0)</f>
        <v>0</v>
      </c>
      <c r="BZ50" s="145">
        <f>IF(BZ$9&lt;$F$7,(HLOOKUP(MONTH(BZ$41),'Weather Calculation'!$H$68:$S$81,14,TRUE)),0)</f>
        <v>0</v>
      </c>
      <c r="CA50" s="145">
        <f>IF(CA$9&lt;$F$7,(HLOOKUP(MONTH(CA$41),'Weather Calculation'!$H$68:$S$81,14,TRUE)),0)</f>
        <v>0</v>
      </c>
      <c r="CB50" s="145">
        <f>IF(CB$9&lt;$F$7,(HLOOKUP(MONTH(CB$41),'Weather Calculation'!$H$68:$S$81,14,TRUE)),0)</f>
        <v>0</v>
      </c>
      <c r="CC50" s="145">
        <f>IF(CC$9&lt;$F$7,(HLOOKUP(MONTH(CC$41),'Weather Calculation'!$H$68:$S$81,14,TRUE)),0)</f>
        <v>0</v>
      </c>
      <c r="CD50" s="145">
        <f>IF(CD$9&lt;$F$7,(HLOOKUP(MONTH(CD$41),'Weather Calculation'!$H$68:$S$81,14,TRUE)),0)</f>
        <v>0</v>
      </c>
      <c r="CE50" s="145">
        <f>IF(CE$9&lt;$F$7,(HLOOKUP(MONTH(CE$41),'Weather Calculation'!$H$68:$S$81,14,TRUE)),0)</f>
        <v>0</v>
      </c>
      <c r="CF50" s="145">
        <f>IF(CF$9&lt;$F$7,(HLOOKUP(MONTH(CF$41),'Weather Calculation'!$H$68:$S$81,14,TRUE)),0)</f>
        <v>0</v>
      </c>
      <c r="CG50" s="145">
        <f>IF(CG$9&lt;$F$7,(HLOOKUP(MONTH(CG$41),'Weather Calculation'!$H$68:$S$81,14,TRUE)),0)</f>
        <v>0</v>
      </c>
      <c r="CH50" s="145">
        <f>IF(CH$9&lt;$F$7,(HLOOKUP(MONTH(CH$41),'Weather Calculation'!$H$68:$S$81,14,TRUE)),0)</f>
        <v>0</v>
      </c>
      <c r="CI50" s="145">
        <f>IF(CI$9&lt;$F$7,(HLOOKUP(MONTH(CI$41),'Weather Calculation'!$H$68:$S$81,14,TRUE)),0)</f>
        <v>0</v>
      </c>
      <c r="CJ50" s="145">
        <f>IF(CJ$9&lt;$F$7,(HLOOKUP(MONTH(CJ$41),'Weather Calculation'!$H$68:$S$81,14,TRUE)),0)</f>
        <v>0</v>
      </c>
      <c r="CK50" s="145">
        <f>IF(CK$9&lt;$F$7,(HLOOKUP(MONTH(CK$41),'Weather Calculation'!$H$68:$S$81,14,TRUE)),0)</f>
        <v>0</v>
      </c>
      <c r="CL50" s="145">
        <f>IF(CL$9&lt;$F$7,(HLOOKUP(MONTH(CL$41),'Weather Calculation'!$H$68:$S$81,14,TRUE)),0)</f>
        <v>0</v>
      </c>
      <c r="CM50" s="145">
        <f>IF(CM$9&lt;$F$7,(HLOOKUP(MONTH(CM$41),'Weather Calculation'!$H$68:$S$81,14,TRUE)),0)</f>
        <v>0</v>
      </c>
      <c r="CN50" s="145">
        <f>IF(CN$9&lt;$F$7,(HLOOKUP(MONTH(CN$41),'Weather Calculation'!$H$68:$S$81,14,TRUE)),0)</f>
        <v>0</v>
      </c>
      <c r="CO50" s="145">
        <f>IF(CO$9&lt;$F$7,(HLOOKUP(MONTH(CO$41),'Weather Calculation'!$H$68:$S$81,14,TRUE)),0)</f>
        <v>0</v>
      </c>
      <c r="CP50" s="145">
        <f>IF(CP$9&lt;$F$7,(HLOOKUP(MONTH(CP$41),'Weather Calculation'!$H$68:$S$81,14,TRUE)),0)</f>
        <v>0</v>
      </c>
      <c r="CQ50" s="145">
        <f>IF(CQ$9&lt;$F$7,(HLOOKUP(MONTH(CQ$41),'Weather Calculation'!$H$68:$S$81,14,TRUE)),0)</f>
        <v>0</v>
      </c>
      <c r="CR50" s="145">
        <f>IF(CR$9&lt;$F$7,(HLOOKUP(MONTH(CR$41),'Weather Calculation'!$H$68:$S$81,14,TRUE)),0)</f>
        <v>0</v>
      </c>
      <c r="CS50" s="145">
        <f>IF(CS$9&lt;$F$7,(HLOOKUP(MONTH(CS$41),'Weather Calculation'!$H$68:$S$81,14,TRUE)),0)</f>
        <v>0</v>
      </c>
      <c r="CT50" s="145">
        <f>IF(CT$9&lt;$F$7,(HLOOKUP(MONTH(CT$41),'Weather Calculation'!$H$68:$S$81,14,TRUE)),0)</f>
        <v>0</v>
      </c>
      <c r="CU50" s="145">
        <f>IF(CU$9&lt;$F$7,(HLOOKUP(MONTH(CU$41),'Weather Calculation'!$H$68:$S$81,14,TRUE)),0)</f>
        <v>0</v>
      </c>
      <c r="CV50" s="145">
        <f>IF(CV$9&lt;$F$7,(HLOOKUP(MONTH(CV$41),'Weather Calculation'!$H$68:$S$81,14,TRUE)),0)</f>
        <v>0</v>
      </c>
      <c r="CW50" s="145">
        <f>IF(CW$9&lt;$F$7,(HLOOKUP(MONTH(CW$41),'Weather Calculation'!$H$68:$S$81,14,TRUE)),0)</f>
        <v>0</v>
      </c>
      <c r="CX50" s="145">
        <f>IF(CX$9&lt;$F$7,(HLOOKUP(MONTH(CX$41),'Weather Calculation'!$H$68:$S$81,14,TRUE)),0)</f>
        <v>0</v>
      </c>
      <c r="CY50" s="145">
        <f>IF(CY$9&lt;$F$7,(HLOOKUP(MONTH(CY$41),'Weather Calculation'!$H$68:$S$81,14,TRUE)),0)</f>
        <v>0</v>
      </c>
      <c r="CZ50" s="145">
        <f>IF(CZ$9&lt;$F$7,(HLOOKUP(MONTH(CZ$41),'Weather Calculation'!$H$68:$S$81,14,TRUE)),0)</f>
        <v>0</v>
      </c>
      <c r="DA50" s="1"/>
    </row>
    <row r="51" spans="1:106" ht="15" customHeight="1" thickBot="1" x14ac:dyDescent="0.4">
      <c r="A51" s="376" t="s">
        <v>181</v>
      </c>
      <c r="B51" s="376"/>
      <c r="C51" s="376"/>
      <c r="D51" s="377">
        <f>SUM(D42:D50)</f>
        <v>78.015505760368669</v>
      </c>
      <c r="E51" s="377"/>
      <c r="F51" s="269">
        <f>F29</f>
        <v>8.6204978740738861E-2</v>
      </c>
      <c r="G51" s="269">
        <f>D51/D61</f>
        <v>9.4337325915765588E-2</v>
      </c>
      <c r="H51" s="159"/>
      <c r="I51" s="207">
        <f>SUM(I42:I50)</f>
        <v>2.1845208333333335</v>
      </c>
      <c r="J51" s="207">
        <f t="shared" ref="J51:BU51" si="22">SUM(J42:J50)</f>
        <v>3.3127419354838707</v>
      </c>
      <c r="K51" s="207">
        <f t="shared" si="22"/>
        <v>4.5175000000000001</v>
      </c>
      <c r="L51" s="207">
        <f t="shared" si="22"/>
        <v>3.3037096774193548</v>
      </c>
      <c r="M51" s="207">
        <f t="shared" si="22"/>
        <v>2.810483870967742</v>
      </c>
      <c r="N51" s="207">
        <f t="shared" si="22"/>
        <v>3.4404464285714287</v>
      </c>
      <c r="O51" s="207">
        <f t="shared" si="22"/>
        <v>3.0827419354838712</v>
      </c>
      <c r="P51" s="207">
        <f t="shared" si="22"/>
        <v>3.8372083333333329</v>
      </c>
      <c r="Q51" s="207">
        <f t="shared" si="22"/>
        <v>5.67741935483871</v>
      </c>
      <c r="R51" s="207">
        <f t="shared" si="22"/>
        <v>2.5361249999999997</v>
      </c>
      <c r="S51" s="207">
        <f t="shared" si="22"/>
        <v>2.758064516129032</v>
      </c>
      <c r="T51" s="207">
        <f t="shared" si="22"/>
        <v>2.9929032258064519</v>
      </c>
      <c r="U51" s="207">
        <f t="shared" si="22"/>
        <v>2.1845208333333335</v>
      </c>
      <c r="V51" s="207">
        <f t="shared" si="22"/>
        <v>3.3127419354838707</v>
      </c>
      <c r="W51" s="207">
        <f t="shared" si="22"/>
        <v>2.2549999999999999</v>
      </c>
      <c r="X51" s="207">
        <f t="shared" si="22"/>
        <v>2.0916129032258066</v>
      </c>
      <c r="Y51" s="207">
        <f t="shared" si="22"/>
        <v>1.7172379032258065</v>
      </c>
      <c r="Z51" s="207">
        <f t="shared" si="22"/>
        <v>1.7388839285714288</v>
      </c>
      <c r="AA51" s="207">
        <f t="shared" si="22"/>
        <v>1.3855645161290324</v>
      </c>
      <c r="AB51" s="207">
        <f t="shared" si="22"/>
        <v>1.6343958333333333</v>
      </c>
      <c r="AC51" s="207">
        <f t="shared" si="22"/>
        <v>2.3659274193548385</v>
      </c>
      <c r="AD51" s="207">
        <f t="shared" si="22"/>
        <v>2.5177499999999999</v>
      </c>
      <c r="AE51" s="207">
        <f t="shared" si="22"/>
        <v>0.79435483870967738</v>
      </c>
      <c r="AF51" s="207">
        <f t="shared" si="22"/>
        <v>1.0341935483870968</v>
      </c>
      <c r="AG51" s="207">
        <f t="shared" si="22"/>
        <v>0.42837500000000001</v>
      </c>
      <c r="AH51" s="207">
        <f t="shared" si="22"/>
        <v>1.4256451612903227</v>
      </c>
      <c r="AI51" s="207">
        <f t="shared" si="22"/>
        <v>0.90500000000000003</v>
      </c>
      <c r="AJ51" s="207">
        <f t="shared" si="22"/>
        <v>1.3609677419354838</v>
      </c>
      <c r="AK51" s="207">
        <f t="shared" si="22"/>
        <v>1.059475806451613</v>
      </c>
      <c r="AL51" s="207">
        <f t="shared" si="22"/>
        <v>0.69044642857142846</v>
      </c>
      <c r="AM51" s="207">
        <f t="shared" si="22"/>
        <v>0.37467741935483878</v>
      </c>
      <c r="AN51" s="207">
        <f t="shared" si="22"/>
        <v>0.33804166666666668</v>
      </c>
      <c r="AO51" s="207">
        <f t="shared" si="22"/>
        <v>0.46572580645161288</v>
      </c>
      <c r="AP51" s="207">
        <f t="shared" si="22"/>
        <v>1.0827499999999999</v>
      </c>
      <c r="AQ51" s="207">
        <f t="shared" si="22"/>
        <v>0.79435483870967738</v>
      </c>
      <c r="AR51" s="207">
        <f t="shared" si="22"/>
        <v>1.0341935483870968</v>
      </c>
      <c r="AS51" s="207">
        <f t="shared" si="22"/>
        <v>0.42837500000000001</v>
      </c>
      <c r="AT51" s="207">
        <f t="shared" si="22"/>
        <v>1.0167741935483869</v>
      </c>
      <c r="AU51" s="207">
        <f t="shared" si="22"/>
        <v>0.57999999999999996</v>
      </c>
      <c r="AV51" s="207">
        <f t="shared" si="22"/>
        <v>1.1625806451612903</v>
      </c>
      <c r="AW51" s="207">
        <f t="shared" si="22"/>
        <v>0.88709677419354838</v>
      </c>
      <c r="AX51" s="207">
        <f t="shared" si="22"/>
        <v>0.36142857142857138</v>
      </c>
      <c r="AY51" s="207">
        <f t="shared" si="22"/>
        <v>0.13354838709677422</v>
      </c>
      <c r="AZ51" s="159">
        <f t="shared" si="22"/>
        <v>0</v>
      </c>
      <c r="BA51" s="159">
        <f t="shared" si="22"/>
        <v>0</v>
      </c>
      <c r="BB51" s="159">
        <f t="shared" si="22"/>
        <v>0</v>
      </c>
      <c r="BC51" s="159">
        <f t="shared" si="22"/>
        <v>0</v>
      </c>
      <c r="BD51" s="159">
        <f t="shared" si="22"/>
        <v>0</v>
      </c>
      <c r="BE51" s="159">
        <f t="shared" si="22"/>
        <v>0</v>
      </c>
      <c r="BF51" s="159">
        <f t="shared" si="22"/>
        <v>0</v>
      </c>
      <c r="BG51" s="159">
        <f t="shared" si="22"/>
        <v>0</v>
      </c>
      <c r="BH51" s="159">
        <f t="shared" si="22"/>
        <v>0</v>
      </c>
      <c r="BI51" s="159">
        <f t="shared" si="22"/>
        <v>0</v>
      </c>
      <c r="BJ51" s="159">
        <f t="shared" si="22"/>
        <v>0</v>
      </c>
      <c r="BK51" s="159">
        <f t="shared" si="22"/>
        <v>0</v>
      </c>
      <c r="BL51" s="159">
        <f t="shared" si="22"/>
        <v>0</v>
      </c>
      <c r="BM51" s="159">
        <f t="shared" si="22"/>
        <v>0</v>
      </c>
      <c r="BN51" s="159">
        <f t="shared" si="22"/>
        <v>0</v>
      </c>
      <c r="BO51" s="159">
        <f t="shared" si="22"/>
        <v>0</v>
      </c>
      <c r="BP51" s="159">
        <f t="shared" si="22"/>
        <v>0</v>
      </c>
      <c r="BQ51" s="159">
        <f t="shared" si="22"/>
        <v>0</v>
      </c>
      <c r="BR51" s="159">
        <f t="shared" si="22"/>
        <v>0</v>
      </c>
      <c r="BS51" s="159">
        <f t="shared" si="22"/>
        <v>0</v>
      </c>
      <c r="BT51" s="159">
        <f t="shared" si="22"/>
        <v>0</v>
      </c>
      <c r="BU51" s="159">
        <f t="shared" si="22"/>
        <v>0</v>
      </c>
      <c r="BV51" s="159">
        <f t="shared" ref="BV51:CZ51" si="23">SUM(BV42:BV50)</f>
        <v>0</v>
      </c>
      <c r="BW51" s="159">
        <f t="shared" si="23"/>
        <v>0</v>
      </c>
      <c r="BX51" s="159">
        <f t="shared" si="23"/>
        <v>0</v>
      </c>
      <c r="BY51" s="159">
        <f t="shared" si="23"/>
        <v>0</v>
      </c>
      <c r="BZ51" s="159">
        <f t="shared" si="23"/>
        <v>0</v>
      </c>
      <c r="CA51" s="159">
        <f t="shared" si="23"/>
        <v>0</v>
      </c>
      <c r="CB51" s="159">
        <f t="shared" si="23"/>
        <v>0</v>
      </c>
      <c r="CC51" s="159">
        <f t="shared" si="23"/>
        <v>0</v>
      </c>
      <c r="CD51" s="159">
        <f t="shared" si="23"/>
        <v>0</v>
      </c>
      <c r="CE51" s="159">
        <f t="shared" si="23"/>
        <v>0</v>
      </c>
      <c r="CF51" s="159">
        <f t="shared" si="23"/>
        <v>0</v>
      </c>
      <c r="CG51" s="159">
        <f t="shared" si="23"/>
        <v>0</v>
      </c>
      <c r="CH51" s="159">
        <f t="shared" si="23"/>
        <v>0</v>
      </c>
      <c r="CI51" s="159">
        <f t="shared" si="23"/>
        <v>0</v>
      </c>
      <c r="CJ51" s="159">
        <f t="shared" si="23"/>
        <v>0</v>
      </c>
      <c r="CK51" s="159">
        <f t="shared" si="23"/>
        <v>0</v>
      </c>
      <c r="CL51" s="159">
        <f t="shared" si="23"/>
        <v>0</v>
      </c>
      <c r="CM51" s="159">
        <f t="shared" si="23"/>
        <v>0</v>
      </c>
      <c r="CN51" s="159">
        <f t="shared" si="23"/>
        <v>0</v>
      </c>
      <c r="CO51" s="159">
        <f t="shared" si="23"/>
        <v>0</v>
      </c>
      <c r="CP51" s="159">
        <f t="shared" si="23"/>
        <v>0</v>
      </c>
      <c r="CQ51" s="159">
        <f t="shared" si="23"/>
        <v>0</v>
      </c>
      <c r="CR51" s="159">
        <f t="shared" si="23"/>
        <v>0</v>
      </c>
      <c r="CS51" s="159">
        <f t="shared" si="23"/>
        <v>0</v>
      </c>
      <c r="CT51" s="159">
        <f t="shared" si="23"/>
        <v>0</v>
      </c>
      <c r="CU51" s="159">
        <f t="shared" si="23"/>
        <v>0</v>
      </c>
      <c r="CV51" s="159">
        <f t="shared" si="23"/>
        <v>0</v>
      </c>
      <c r="CW51" s="159">
        <f t="shared" si="23"/>
        <v>0</v>
      </c>
      <c r="CX51" s="159">
        <f t="shared" si="23"/>
        <v>0</v>
      </c>
      <c r="CY51" s="159">
        <f t="shared" si="23"/>
        <v>0</v>
      </c>
      <c r="CZ51" s="159">
        <f t="shared" si="23"/>
        <v>0</v>
      </c>
      <c r="DA51" s="1"/>
    </row>
    <row r="52" spans="1:106" ht="15" customHeight="1" thickBot="1" x14ac:dyDescent="0.4">
      <c r="A52" s="374"/>
      <c r="B52" s="374"/>
      <c r="C52" s="374"/>
      <c r="D52" s="374"/>
      <c r="E52" s="374"/>
      <c r="F52" s="102"/>
      <c r="G52" s="102"/>
      <c r="H52" s="79"/>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147"/>
      <c r="BT52" s="147"/>
      <c r="BU52" s="147"/>
      <c r="BV52" s="147"/>
      <c r="BW52" s="147"/>
      <c r="BX52" s="147"/>
      <c r="BY52" s="147"/>
      <c r="BZ52" s="147"/>
      <c r="CA52" s="147"/>
      <c r="CB52" s="147"/>
      <c r="CC52" s="147"/>
      <c r="CD52" s="147"/>
      <c r="CE52" s="147"/>
      <c r="CF52" s="147"/>
      <c r="CG52" s="147"/>
      <c r="CH52" s="147"/>
      <c r="CI52" s="147"/>
      <c r="CJ52" s="147"/>
      <c r="CK52" s="147"/>
      <c r="CL52" s="147"/>
      <c r="CM52" s="147"/>
      <c r="CN52" s="147"/>
      <c r="CO52" s="147"/>
      <c r="CP52" s="147"/>
      <c r="CQ52" s="147"/>
      <c r="CR52" s="147"/>
      <c r="CS52" s="147"/>
      <c r="CT52" s="147"/>
      <c r="CU52" s="147"/>
      <c r="CV52" s="147"/>
      <c r="CW52" s="147"/>
      <c r="CX52" s="147"/>
      <c r="CY52" s="147"/>
      <c r="CZ52" s="112"/>
      <c r="DA52" s="1"/>
    </row>
    <row r="53" spans="1:106" ht="15" customHeight="1" thickBot="1" x14ac:dyDescent="0.4">
      <c r="A53" s="374" t="s">
        <v>29</v>
      </c>
      <c r="B53" s="374"/>
      <c r="C53" s="374"/>
      <c r="D53" s="374"/>
      <c r="E53" s="374"/>
      <c r="F53" s="102"/>
      <c r="G53" s="102"/>
      <c r="H53" s="78"/>
      <c r="I53" s="146">
        <f t="shared" ref="I53:AN53" si="24">H53+I51</f>
        <v>2.1845208333333335</v>
      </c>
      <c r="J53" s="146">
        <f t="shared" si="24"/>
        <v>5.4972627688172047</v>
      </c>
      <c r="K53" s="146">
        <f t="shared" si="24"/>
        <v>10.014762768817205</v>
      </c>
      <c r="L53" s="146">
        <f t="shared" si="24"/>
        <v>13.318472446236559</v>
      </c>
      <c r="M53" s="146">
        <f t="shared" si="24"/>
        <v>16.128956317204299</v>
      </c>
      <c r="N53" s="146">
        <f t="shared" si="24"/>
        <v>19.569402745775726</v>
      </c>
      <c r="O53" s="146">
        <f t="shared" si="24"/>
        <v>22.652144681259596</v>
      </c>
      <c r="P53" s="146">
        <f t="shared" si="24"/>
        <v>26.489353014592929</v>
      </c>
      <c r="Q53" s="146">
        <f t="shared" si="24"/>
        <v>32.166772369431641</v>
      </c>
      <c r="R53" s="146">
        <f t="shared" si="24"/>
        <v>34.702897369431639</v>
      </c>
      <c r="S53" s="146">
        <f t="shared" si="24"/>
        <v>37.460961885560671</v>
      </c>
      <c r="T53" s="146">
        <f t="shared" si="24"/>
        <v>40.453865111367122</v>
      </c>
      <c r="U53" s="146">
        <f t="shared" si="24"/>
        <v>42.638385944700453</v>
      </c>
      <c r="V53" s="146">
        <f t="shared" si="24"/>
        <v>45.951127880184323</v>
      </c>
      <c r="W53" s="146">
        <f t="shared" si="24"/>
        <v>48.206127880184326</v>
      </c>
      <c r="X53" s="146">
        <f t="shared" si="24"/>
        <v>50.297740783410134</v>
      </c>
      <c r="Y53" s="146">
        <f t="shared" si="24"/>
        <v>52.014978686635942</v>
      </c>
      <c r="Z53" s="146">
        <f t="shared" si="24"/>
        <v>53.753862615207368</v>
      </c>
      <c r="AA53" s="146">
        <f t="shared" si="24"/>
        <v>55.139427131336397</v>
      </c>
      <c r="AB53" s="146">
        <f t="shared" si="24"/>
        <v>56.773822964669733</v>
      </c>
      <c r="AC53" s="146">
        <f t="shared" si="24"/>
        <v>59.139750384024573</v>
      </c>
      <c r="AD53" s="146">
        <f t="shared" si="24"/>
        <v>61.657500384024573</v>
      </c>
      <c r="AE53" s="146">
        <f t="shared" si="24"/>
        <v>62.451855222734252</v>
      </c>
      <c r="AF53" s="146">
        <f t="shared" si="24"/>
        <v>63.486048771121347</v>
      </c>
      <c r="AG53" s="146">
        <f t="shared" si="24"/>
        <v>63.914423771121349</v>
      </c>
      <c r="AH53" s="146">
        <f t="shared" si="24"/>
        <v>65.340068932411668</v>
      </c>
      <c r="AI53" s="146">
        <f t="shared" si="24"/>
        <v>66.245068932411669</v>
      </c>
      <c r="AJ53" s="146">
        <f t="shared" si="24"/>
        <v>67.606036674347152</v>
      </c>
      <c r="AK53" s="146">
        <f t="shared" si="24"/>
        <v>68.665512480798768</v>
      </c>
      <c r="AL53" s="146">
        <f t="shared" si="24"/>
        <v>69.355958909370202</v>
      </c>
      <c r="AM53" s="146">
        <f t="shared" si="24"/>
        <v>69.730636328725041</v>
      </c>
      <c r="AN53" s="146">
        <f t="shared" si="24"/>
        <v>70.06867799539171</v>
      </c>
      <c r="AO53" s="146">
        <f t="shared" ref="AO53:BT53" si="25">AN53+AO51</f>
        <v>70.534403801843325</v>
      </c>
      <c r="AP53" s="146">
        <f t="shared" si="25"/>
        <v>71.61715380184333</v>
      </c>
      <c r="AQ53" s="146">
        <f t="shared" si="25"/>
        <v>72.411508640553009</v>
      </c>
      <c r="AR53" s="146">
        <f t="shared" si="25"/>
        <v>73.445702188940103</v>
      </c>
      <c r="AS53" s="146">
        <f t="shared" si="25"/>
        <v>73.874077188940106</v>
      </c>
      <c r="AT53" s="146">
        <f t="shared" si="25"/>
        <v>74.890851382488492</v>
      </c>
      <c r="AU53" s="146">
        <f t="shared" si="25"/>
        <v>75.47085138248849</v>
      </c>
      <c r="AV53" s="146">
        <f t="shared" si="25"/>
        <v>76.633432027649775</v>
      </c>
      <c r="AW53" s="146">
        <f t="shared" si="25"/>
        <v>77.520528801843327</v>
      </c>
      <c r="AX53" s="146">
        <f t="shared" si="25"/>
        <v>77.881957373271902</v>
      </c>
      <c r="AY53" s="146">
        <f t="shared" si="25"/>
        <v>78.015505760368683</v>
      </c>
      <c r="AZ53" s="146">
        <f t="shared" si="25"/>
        <v>78.015505760368683</v>
      </c>
      <c r="BA53" s="146">
        <f t="shared" si="25"/>
        <v>78.015505760368683</v>
      </c>
      <c r="BB53" s="146">
        <f t="shared" si="25"/>
        <v>78.015505760368683</v>
      </c>
      <c r="BC53" s="146">
        <f t="shared" si="25"/>
        <v>78.015505760368683</v>
      </c>
      <c r="BD53" s="146">
        <f t="shared" si="25"/>
        <v>78.015505760368683</v>
      </c>
      <c r="BE53" s="146">
        <f t="shared" si="25"/>
        <v>78.015505760368683</v>
      </c>
      <c r="BF53" s="146">
        <f t="shared" si="25"/>
        <v>78.015505760368683</v>
      </c>
      <c r="BG53" s="146">
        <f t="shared" si="25"/>
        <v>78.015505760368683</v>
      </c>
      <c r="BH53" s="146">
        <f t="shared" si="25"/>
        <v>78.015505760368683</v>
      </c>
      <c r="BI53" s="146">
        <f t="shared" si="25"/>
        <v>78.015505760368683</v>
      </c>
      <c r="BJ53" s="146">
        <f t="shared" si="25"/>
        <v>78.015505760368683</v>
      </c>
      <c r="BK53" s="146">
        <f t="shared" si="25"/>
        <v>78.015505760368683</v>
      </c>
      <c r="BL53" s="146">
        <f t="shared" si="25"/>
        <v>78.015505760368683</v>
      </c>
      <c r="BM53" s="146">
        <f t="shared" si="25"/>
        <v>78.015505760368683</v>
      </c>
      <c r="BN53" s="146">
        <f t="shared" si="25"/>
        <v>78.015505760368683</v>
      </c>
      <c r="BO53" s="146">
        <f t="shared" si="25"/>
        <v>78.015505760368683</v>
      </c>
      <c r="BP53" s="146">
        <f t="shared" si="25"/>
        <v>78.015505760368683</v>
      </c>
      <c r="BQ53" s="146">
        <f t="shared" si="25"/>
        <v>78.015505760368683</v>
      </c>
      <c r="BR53" s="146">
        <f t="shared" si="25"/>
        <v>78.015505760368683</v>
      </c>
      <c r="BS53" s="146">
        <f t="shared" si="25"/>
        <v>78.015505760368683</v>
      </c>
      <c r="BT53" s="146">
        <f t="shared" si="25"/>
        <v>78.015505760368683</v>
      </c>
      <c r="BU53" s="146">
        <f t="shared" ref="BU53:CZ53" si="26">BT53+BU51</f>
        <v>78.015505760368683</v>
      </c>
      <c r="BV53" s="146">
        <f t="shared" si="26"/>
        <v>78.015505760368683</v>
      </c>
      <c r="BW53" s="146">
        <f t="shared" si="26"/>
        <v>78.015505760368683</v>
      </c>
      <c r="BX53" s="146">
        <f t="shared" si="26"/>
        <v>78.015505760368683</v>
      </c>
      <c r="BY53" s="146">
        <f t="shared" si="26"/>
        <v>78.015505760368683</v>
      </c>
      <c r="BZ53" s="146">
        <f t="shared" si="26"/>
        <v>78.015505760368683</v>
      </c>
      <c r="CA53" s="146">
        <f t="shared" si="26"/>
        <v>78.015505760368683</v>
      </c>
      <c r="CB53" s="146">
        <f t="shared" si="26"/>
        <v>78.015505760368683</v>
      </c>
      <c r="CC53" s="146">
        <f t="shared" si="26"/>
        <v>78.015505760368683</v>
      </c>
      <c r="CD53" s="146">
        <f t="shared" si="26"/>
        <v>78.015505760368683</v>
      </c>
      <c r="CE53" s="146">
        <f t="shared" si="26"/>
        <v>78.015505760368683</v>
      </c>
      <c r="CF53" s="146">
        <f t="shared" si="26"/>
        <v>78.015505760368683</v>
      </c>
      <c r="CG53" s="146">
        <f t="shared" si="26"/>
        <v>78.015505760368683</v>
      </c>
      <c r="CH53" s="146">
        <f t="shared" si="26"/>
        <v>78.015505760368683</v>
      </c>
      <c r="CI53" s="146">
        <f t="shared" si="26"/>
        <v>78.015505760368683</v>
      </c>
      <c r="CJ53" s="146">
        <f t="shared" si="26"/>
        <v>78.015505760368683</v>
      </c>
      <c r="CK53" s="146">
        <f t="shared" si="26"/>
        <v>78.015505760368683</v>
      </c>
      <c r="CL53" s="146">
        <f t="shared" si="26"/>
        <v>78.015505760368683</v>
      </c>
      <c r="CM53" s="146">
        <f t="shared" si="26"/>
        <v>78.015505760368683</v>
      </c>
      <c r="CN53" s="146">
        <f t="shared" si="26"/>
        <v>78.015505760368683</v>
      </c>
      <c r="CO53" s="146">
        <f t="shared" si="26"/>
        <v>78.015505760368683</v>
      </c>
      <c r="CP53" s="146">
        <f t="shared" si="26"/>
        <v>78.015505760368683</v>
      </c>
      <c r="CQ53" s="146">
        <f t="shared" si="26"/>
        <v>78.015505760368683</v>
      </c>
      <c r="CR53" s="146">
        <f t="shared" si="26"/>
        <v>78.015505760368683</v>
      </c>
      <c r="CS53" s="146">
        <f t="shared" si="26"/>
        <v>78.015505760368683</v>
      </c>
      <c r="CT53" s="146">
        <f t="shared" si="26"/>
        <v>78.015505760368683</v>
      </c>
      <c r="CU53" s="146">
        <f t="shared" si="26"/>
        <v>78.015505760368683</v>
      </c>
      <c r="CV53" s="146">
        <f t="shared" si="26"/>
        <v>78.015505760368683</v>
      </c>
      <c r="CW53" s="146">
        <f t="shared" si="26"/>
        <v>78.015505760368683</v>
      </c>
      <c r="CX53" s="146">
        <f t="shared" si="26"/>
        <v>78.015505760368683</v>
      </c>
      <c r="CY53" s="146">
        <f t="shared" si="26"/>
        <v>78.015505760368683</v>
      </c>
      <c r="CZ53" s="161">
        <f t="shared" si="26"/>
        <v>78.015505760368683</v>
      </c>
      <c r="DA53" s="1"/>
    </row>
    <row r="54" spans="1:106" ht="15" customHeight="1" thickBot="1" x14ac:dyDescent="0.4">
      <c r="A54" s="375" t="s">
        <v>30</v>
      </c>
      <c r="B54" s="375"/>
      <c r="C54" s="375"/>
      <c r="D54" s="375"/>
      <c r="E54" s="375"/>
      <c r="F54" s="11"/>
      <c r="G54" s="11"/>
      <c r="H54" s="11"/>
      <c r="I54" s="11"/>
      <c r="J54" s="11"/>
      <c r="K54" s="362" t="str">
        <f>INT(D51)&amp;" Delay Days = "&amp;(ROUND((CZ53/C29)*100,1)&amp;"% of overall gross duration")</f>
        <v>78 Delay Days = 8.6% of overall gross duration</v>
      </c>
      <c r="L54" s="362"/>
      <c r="M54" s="362"/>
      <c r="N54" s="362"/>
      <c r="O54" s="362"/>
      <c r="P54" s="362"/>
      <c r="Q54" s="362"/>
      <c r="R54" s="362"/>
      <c r="S54" s="362"/>
      <c r="T54" s="362"/>
      <c r="U54" s="362"/>
      <c r="V54" s="362"/>
      <c r="W54" s="362"/>
      <c r="X54" s="362"/>
      <c r="Y54" s="362"/>
      <c r="Z54" s="362"/>
      <c r="AA54" s="362"/>
      <c r="AB54" s="362"/>
      <c r="AC54" s="362"/>
      <c r="AD54" s="362"/>
      <c r="AE54" s="362"/>
      <c r="AF54" s="362"/>
      <c r="AG54" s="362"/>
      <c r="AH54" s="362"/>
      <c r="AI54" s="362"/>
      <c r="AJ54" s="362"/>
      <c r="AK54" s="362"/>
      <c r="AL54" s="362"/>
      <c r="AM54" s="362"/>
      <c r="AN54" s="362"/>
      <c r="AO54" s="362"/>
      <c r="AP54" s="362"/>
      <c r="AQ54" s="362"/>
      <c r="AR54" s="362"/>
      <c r="AS54" s="362"/>
      <c r="AT54" s="362"/>
      <c r="AU54" s="362"/>
      <c r="AV54" s="362"/>
      <c r="AW54" s="362"/>
      <c r="AX54" s="362"/>
      <c r="AY54" s="362"/>
      <c r="AZ54" s="362"/>
      <c r="BA54" s="362"/>
      <c r="BB54" s="362"/>
      <c r="BC54" s="362"/>
      <c r="BD54" s="362"/>
      <c r="BE54" s="362"/>
      <c r="BF54" s="362"/>
      <c r="BG54" s="362"/>
      <c r="BH54" s="362"/>
      <c r="BI54" s="362"/>
      <c r="BJ54" s="362"/>
      <c r="BK54" s="362"/>
      <c r="BL54" s="362"/>
      <c r="BM54" s="362"/>
      <c r="BN54" s="362"/>
      <c r="BO54" s="362"/>
      <c r="BP54" s="362"/>
      <c r="BQ54" s="362"/>
      <c r="BR54" s="362"/>
      <c r="BS54" s="362"/>
      <c r="BT54" s="362"/>
      <c r="BU54" s="362"/>
      <c r="BV54" s="362"/>
      <c r="BW54" s="362"/>
      <c r="BX54" s="362"/>
      <c r="BY54" s="362"/>
      <c r="BZ54" s="362"/>
      <c r="CA54" s="362"/>
      <c r="CB54" s="362"/>
      <c r="CC54" s="362"/>
      <c r="CD54" s="362"/>
      <c r="CE54" s="362"/>
      <c r="CF54" s="362"/>
      <c r="CG54" s="362"/>
      <c r="CH54" s="362"/>
      <c r="CI54" s="362"/>
      <c r="CJ54" s="362"/>
      <c r="CK54" s="362"/>
      <c r="CL54" s="362"/>
      <c r="CM54" s="362"/>
      <c r="CN54" s="362"/>
      <c r="CO54" s="362"/>
      <c r="CP54" s="362"/>
      <c r="CQ54" s="362"/>
      <c r="CR54" s="362"/>
      <c r="CS54" s="362"/>
      <c r="CT54" s="362"/>
      <c r="CU54" s="362"/>
      <c r="CV54" s="362"/>
      <c r="CW54" s="362"/>
      <c r="CX54" s="362"/>
      <c r="CY54" s="362"/>
      <c r="CZ54" s="363"/>
      <c r="DA54" s="1"/>
    </row>
    <row r="55" spans="1:106" ht="15" customHeight="1" thickBot="1" x14ac:dyDescent="0.4">
      <c r="A55" s="375"/>
      <c r="B55" s="375"/>
      <c r="C55" s="375"/>
      <c r="D55" s="375"/>
      <c r="E55" s="375"/>
      <c r="F55" s="11"/>
      <c r="G55" s="11"/>
      <c r="H55" s="11"/>
      <c r="I55" s="11"/>
      <c r="J55" s="11"/>
      <c r="K55" s="364"/>
      <c r="L55" s="364"/>
      <c r="M55" s="364"/>
      <c r="N55" s="364"/>
      <c r="O55" s="364"/>
      <c r="P55" s="364"/>
      <c r="Q55" s="364"/>
      <c r="R55" s="364"/>
      <c r="S55" s="364"/>
      <c r="T55" s="364"/>
      <c r="U55" s="364"/>
      <c r="V55" s="364"/>
      <c r="W55" s="364"/>
      <c r="X55" s="364"/>
      <c r="Y55" s="364"/>
      <c r="Z55" s="364"/>
      <c r="AA55" s="364"/>
      <c r="AB55" s="364"/>
      <c r="AC55" s="364"/>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64"/>
      <c r="BC55" s="364"/>
      <c r="BD55" s="364"/>
      <c r="BE55" s="364"/>
      <c r="BF55" s="364"/>
      <c r="BG55" s="364"/>
      <c r="BH55" s="364"/>
      <c r="BI55" s="364"/>
      <c r="BJ55" s="364"/>
      <c r="BK55" s="364"/>
      <c r="BL55" s="364"/>
      <c r="BM55" s="364"/>
      <c r="BN55" s="364"/>
      <c r="BO55" s="364"/>
      <c r="BP55" s="364"/>
      <c r="BQ55" s="364"/>
      <c r="BR55" s="364"/>
      <c r="BS55" s="364"/>
      <c r="BT55" s="364"/>
      <c r="BU55" s="364"/>
      <c r="BV55" s="364"/>
      <c r="BW55" s="364"/>
      <c r="BX55" s="364"/>
      <c r="BY55" s="364"/>
      <c r="BZ55" s="364"/>
      <c r="CA55" s="364"/>
      <c r="CB55" s="364"/>
      <c r="CC55" s="364"/>
      <c r="CD55" s="364"/>
      <c r="CE55" s="364"/>
      <c r="CF55" s="364"/>
      <c r="CG55" s="364"/>
      <c r="CH55" s="364"/>
      <c r="CI55" s="364"/>
      <c r="CJ55" s="364"/>
      <c r="CK55" s="364"/>
      <c r="CL55" s="364"/>
      <c r="CM55" s="364"/>
      <c r="CN55" s="364"/>
      <c r="CO55" s="364"/>
      <c r="CP55" s="364"/>
      <c r="CQ55" s="364"/>
      <c r="CR55" s="364"/>
      <c r="CS55" s="364"/>
      <c r="CT55" s="364"/>
      <c r="CU55" s="364"/>
      <c r="CV55" s="364"/>
      <c r="CW55" s="364"/>
      <c r="CX55" s="364"/>
      <c r="CY55" s="364"/>
      <c r="CZ55" s="365"/>
      <c r="DA55" s="1"/>
    </row>
    <row r="56" spans="1:106" ht="6" customHeight="1" thickBot="1" x14ac:dyDescent="0.4">
      <c r="A56" s="12"/>
      <c r="B56" s="13"/>
      <c r="C56" s="13"/>
      <c r="D56" s="13"/>
      <c r="E56" s="13"/>
      <c r="F56" s="13"/>
      <c r="G56" s="13"/>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
    </row>
    <row r="57" spans="1:106" ht="3.75" customHeight="1" thickBot="1" x14ac:dyDescent="0.4">
      <c r="A57" s="386" t="s">
        <v>32</v>
      </c>
      <c r="B57" s="386"/>
      <c r="C57" s="386"/>
      <c r="D57" s="386" t="s">
        <v>22</v>
      </c>
      <c r="E57" s="386"/>
      <c r="F57" s="125"/>
      <c r="G57" s="125"/>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t="s">
        <v>142</v>
      </c>
      <c r="DA57" s="1"/>
    </row>
    <row r="58" spans="1:106" ht="26" thickBot="1" x14ac:dyDescent="0.4">
      <c r="A58" s="386"/>
      <c r="B58" s="386"/>
      <c r="C58" s="386"/>
      <c r="D58" s="386"/>
      <c r="E58" s="386"/>
      <c r="F58" s="97"/>
      <c r="G58" s="97"/>
      <c r="H58" s="315">
        <f>H$9</f>
        <v>43343</v>
      </c>
      <c r="I58" s="316">
        <f t="shared" ref="I58:AN58" si="27">I$9</f>
        <v>43358</v>
      </c>
      <c r="J58" s="316">
        <f t="shared" si="27"/>
        <v>43388</v>
      </c>
      <c r="K58" s="316">
        <f t="shared" si="27"/>
        <v>43419</v>
      </c>
      <c r="L58" s="316">
        <f t="shared" si="27"/>
        <v>43449</v>
      </c>
      <c r="M58" s="316">
        <f t="shared" si="27"/>
        <v>43480</v>
      </c>
      <c r="N58" s="316">
        <f t="shared" si="27"/>
        <v>43511</v>
      </c>
      <c r="O58" s="316">
        <f t="shared" si="27"/>
        <v>43539</v>
      </c>
      <c r="P58" s="316">
        <f t="shared" si="27"/>
        <v>43570</v>
      </c>
      <c r="Q58" s="316">
        <f t="shared" si="27"/>
        <v>43600</v>
      </c>
      <c r="R58" s="316">
        <f t="shared" si="27"/>
        <v>43631</v>
      </c>
      <c r="S58" s="316">
        <f t="shared" si="27"/>
        <v>43661</v>
      </c>
      <c r="T58" s="316">
        <f t="shared" si="27"/>
        <v>43692</v>
      </c>
      <c r="U58" s="316">
        <f t="shared" si="27"/>
        <v>43723</v>
      </c>
      <c r="V58" s="316">
        <f t="shared" si="27"/>
        <v>43753</v>
      </c>
      <c r="W58" s="316">
        <f t="shared" si="27"/>
        <v>43784</v>
      </c>
      <c r="X58" s="316">
        <f t="shared" si="27"/>
        <v>43814</v>
      </c>
      <c r="Y58" s="316">
        <f t="shared" si="27"/>
        <v>43845</v>
      </c>
      <c r="Z58" s="316">
        <f t="shared" si="27"/>
        <v>43876</v>
      </c>
      <c r="AA58" s="316">
        <f t="shared" si="27"/>
        <v>43905</v>
      </c>
      <c r="AB58" s="316">
        <f t="shared" si="27"/>
        <v>43936</v>
      </c>
      <c r="AC58" s="316">
        <f t="shared" si="27"/>
        <v>43966</v>
      </c>
      <c r="AD58" s="316">
        <f t="shared" si="27"/>
        <v>43997</v>
      </c>
      <c r="AE58" s="316">
        <f t="shared" si="27"/>
        <v>44027</v>
      </c>
      <c r="AF58" s="316">
        <f t="shared" si="27"/>
        <v>44058</v>
      </c>
      <c r="AG58" s="316">
        <f t="shared" si="27"/>
        <v>44089</v>
      </c>
      <c r="AH58" s="316">
        <f t="shared" si="27"/>
        <v>44119</v>
      </c>
      <c r="AI58" s="316">
        <f t="shared" si="27"/>
        <v>44150</v>
      </c>
      <c r="AJ58" s="316">
        <f t="shared" si="27"/>
        <v>44180</v>
      </c>
      <c r="AK58" s="316">
        <f t="shared" si="27"/>
        <v>44211</v>
      </c>
      <c r="AL58" s="316">
        <f t="shared" si="27"/>
        <v>44242</v>
      </c>
      <c r="AM58" s="316">
        <f t="shared" si="27"/>
        <v>44270</v>
      </c>
      <c r="AN58" s="316">
        <f t="shared" si="27"/>
        <v>44301</v>
      </c>
      <c r="AO58" s="316">
        <f t="shared" ref="AO58:CZ58" si="28">AO$9</f>
        <v>44331</v>
      </c>
      <c r="AP58" s="316">
        <f t="shared" si="28"/>
        <v>44362</v>
      </c>
      <c r="AQ58" s="316">
        <f t="shared" si="28"/>
        <v>44392</v>
      </c>
      <c r="AR58" s="316">
        <f t="shared" si="28"/>
        <v>44423</v>
      </c>
      <c r="AS58" s="316">
        <f t="shared" si="28"/>
        <v>44454</v>
      </c>
      <c r="AT58" s="316">
        <f t="shared" si="28"/>
        <v>44484</v>
      </c>
      <c r="AU58" s="316">
        <f t="shared" si="28"/>
        <v>44515</v>
      </c>
      <c r="AV58" s="316">
        <f t="shared" si="28"/>
        <v>44545</v>
      </c>
      <c r="AW58" s="316">
        <f t="shared" si="28"/>
        <v>44576</v>
      </c>
      <c r="AX58" s="316">
        <f t="shared" si="28"/>
        <v>44607</v>
      </c>
      <c r="AY58" s="316">
        <f t="shared" si="28"/>
        <v>44635</v>
      </c>
      <c r="AZ58" s="316">
        <f t="shared" si="28"/>
        <v>44666</v>
      </c>
      <c r="BA58" s="319">
        <f t="shared" si="28"/>
        <v>44696</v>
      </c>
      <c r="BB58" s="319">
        <f t="shared" si="28"/>
        <v>44727</v>
      </c>
      <c r="BC58" s="319">
        <f t="shared" si="28"/>
        <v>44757</v>
      </c>
      <c r="BD58" s="319">
        <f t="shared" si="28"/>
        <v>44788</v>
      </c>
      <c r="BE58" s="319">
        <f t="shared" si="28"/>
        <v>44819</v>
      </c>
      <c r="BF58" s="319">
        <f t="shared" si="28"/>
        <v>44849</v>
      </c>
      <c r="BG58" s="319">
        <f t="shared" si="28"/>
        <v>44880</v>
      </c>
      <c r="BH58" s="319">
        <f t="shared" si="28"/>
        <v>44910</v>
      </c>
      <c r="BI58" s="319">
        <f t="shared" si="28"/>
        <v>44941</v>
      </c>
      <c r="BJ58" s="319">
        <f t="shared" si="28"/>
        <v>44972</v>
      </c>
      <c r="BK58" s="319">
        <f t="shared" si="28"/>
        <v>45000</v>
      </c>
      <c r="BL58" s="319">
        <f t="shared" si="28"/>
        <v>45031</v>
      </c>
      <c r="BM58" s="319">
        <f t="shared" si="28"/>
        <v>45061</v>
      </c>
      <c r="BN58" s="319">
        <f t="shared" si="28"/>
        <v>45092</v>
      </c>
      <c r="BO58" s="319">
        <f t="shared" si="28"/>
        <v>45122</v>
      </c>
      <c r="BP58" s="319">
        <f t="shared" si="28"/>
        <v>45153</v>
      </c>
      <c r="BQ58" s="319">
        <f t="shared" si="28"/>
        <v>45184</v>
      </c>
      <c r="BR58" s="319">
        <f t="shared" si="28"/>
        <v>45214</v>
      </c>
      <c r="BS58" s="319">
        <f t="shared" si="28"/>
        <v>45245</v>
      </c>
      <c r="BT58" s="319">
        <f t="shared" si="28"/>
        <v>45275</v>
      </c>
      <c r="BU58" s="319">
        <f t="shared" si="28"/>
        <v>45306</v>
      </c>
      <c r="BV58" s="319">
        <f t="shared" si="28"/>
        <v>45337</v>
      </c>
      <c r="BW58" s="319">
        <f t="shared" si="28"/>
        <v>45366</v>
      </c>
      <c r="BX58" s="319">
        <f t="shared" si="28"/>
        <v>45397</v>
      </c>
      <c r="BY58" s="319">
        <f t="shared" si="28"/>
        <v>45427</v>
      </c>
      <c r="BZ58" s="319">
        <f t="shared" si="28"/>
        <v>45458</v>
      </c>
      <c r="CA58" s="319">
        <f t="shared" si="28"/>
        <v>45488</v>
      </c>
      <c r="CB58" s="319">
        <f t="shared" si="28"/>
        <v>45519</v>
      </c>
      <c r="CC58" s="319">
        <f t="shared" si="28"/>
        <v>45550</v>
      </c>
      <c r="CD58" s="319">
        <f t="shared" si="28"/>
        <v>45580</v>
      </c>
      <c r="CE58" s="319">
        <f t="shared" si="28"/>
        <v>45611</v>
      </c>
      <c r="CF58" s="319">
        <f t="shared" si="28"/>
        <v>45641</v>
      </c>
      <c r="CG58" s="319">
        <f t="shared" si="28"/>
        <v>45672</v>
      </c>
      <c r="CH58" s="319">
        <f t="shared" si="28"/>
        <v>45703</v>
      </c>
      <c r="CI58" s="319">
        <f t="shared" si="28"/>
        <v>45731</v>
      </c>
      <c r="CJ58" s="319">
        <f t="shared" si="28"/>
        <v>45762</v>
      </c>
      <c r="CK58" s="319">
        <f t="shared" si="28"/>
        <v>45792</v>
      </c>
      <c r="CL58" s="319">
        <f t="shared" si="28"/>
        <v>45823</v>
      </c>
      <c r="CM58" s="319">
        <f t="shared" si="28"/>
        <v>45853</v>
      </c>
      <c r="CN58" s="319">
        <f t="shared" si="28"/>
        <v>45884</v>
      </c>
      <c r="CO58" s="319">
        <f t="shared" si="28"/>
        <v>45915</v>
      </c>
      <c r="CP58" s="319">
        <f t="shared" si="28"/>
        <v>45945</v>
      </c>
      <c r="CQ58" s="319">
        <f t="shared" si="28"/>
        <v>45976</v>
      </c>
      <c r="CR58" s="319">
        <f t="shared" si="28"/>
        <v>46006</v>
      </c>
      <c r="CS58" s="319">
        <f t="shared" si="28"/>
        <v>46037</v>
      </c>
      <c r="CT58" s="319">
        <f t="shared" si="28"/>
        <v>46068</v>
      </c>
      <c r="CU58" s="319">
        <f t="shared" si="28"/>
        <v>46096</v>
      </c>
      <c r="CV58" s="319">
        <f t="shared" si="28"/>
        <v>46127</v>
      </c>
      <c r="CW58" s="319">
        <f t="shared" si="28"/>
        <v>46157</v>
      </c>
      <c r="CX58" s="319">
        <f t="shared" si="28"/>
        <v>46188</v>
      </c>
      <c r="CY58" s="319">
        <f t="shared" si="28"/>
        <v>46218</v>
      </c>
      <c r="CZ58" s="319">
        <f t="shared" si="28"/>
        <v>46249</v>
      </c>
      <c r="DA58" s="1"/>
    </row>
    <row r="59" spans="1:106" ht="29.25" customHeight="1" thickBot="1" x14ac:dyDescent="0.4">
      <c r="A59" s="387" t="s">
        <v>273</v>
      </c>
      <c r="B59" s="388"/>
      <c r="C59" s="389"/>
      <c r="D59" s="390">
        <f>C29</f>
        <v>905</v>
      </c>
      <c r="E59" s="391"/>
      <c r="F59" s="128"/>
      <c r="G59" s="128"/>
      <c r="H59" s="142"/>
      <c r="I59" s="139">
        <f>HLOOKUP(MONTH(I58),'Weather Calculation'!$H$26:$S$27,2,TRUE)</f>
        <v>23</v>
      </c>
      <c r="J59" s="139">
        <f>HLOOKUP(MONTH(J58),'Weather Calculation'!$H$26:$S$27,2,TRUE)</f>
        <v>26</v>
      </c>
      <c r="K59" s="139">
        <f>HLOOKUP(MONTH(K58),'Weather Calculation'!$H$26:$S$27,2,TRUE)</f>
        <v>20</v>
      </c>
      <c r="L59" s="139">
        <f>HLOOKUP(MONTH(L58),'Weather Calculation'!$H$26:$S$27,2,TRUE)</f>
        <v>12</v>
      </c>
      <c r="M59" s="139">
        <f>HLOOKUP(MONTH(M58),'Weather Calculation'!$H$26:$S$27,2,TRUE)</f>
        <v>15</v>
      </c>
      <c r="N59" s="139">
        <f>HLOOKUP(MONTH(N58),'Weather Calculation'!$H$26:$S$27,2,TRUE)</f>
        <v>22</v>
      </c>
      <c r="O59" s="139">
        <f>HLOOKUP(MONTH(O58),'Weather Calculation'!$H$26:$S$27,2,TRUE)</f>
        <v>23</v>
      </c>
      <c r="P59" s="139">
        <f>HLOOKUP(MONTH(P58),'Weather Calculation'!$H$26:$S$27,2,TRUE)</f>
        <v>19</v>
      </c>
      <c r="Q59" s="139">
        <f>HLOOKUP(MONTH(Q58),'Weather Calculation'!$H$26:$S$27,2,TRUE)</f>
        <v>25</v>
      </c>
      <c r="R59" s="139">
        <f>HLOOKUP(MONTH(R58),'Weather Calculation'!$H$26:$S$27,2,TRUE)</f>
        <v>21</v>
      </c>
      <c r="S59" s="139">
        <f>HLOOKUP(MONTH(S58),'Weather Calculation'!$H$26:$S$27,2,TRUE)</f>
        <v>25</v>
      </c>
      <c r="T59" s="139">
        <f>HLOOKUP(MONTH(T58),'Weather Calculation'!$H$26:$S$27,2,TRUE)</f>
        <v>24</v>
      </c>
      <c r="U59" s="138">
        <f>I59</f>
        <v>23</v>
      </c>
      <c r="V59" s="138">
        <f t="shared" ref="V59:CG59" si="29">J59</f>
        <v>26</v>
      </c>
      <c r="W59" s="138">
        <f t="shared" si="29"/>
        <v>20</v>
      </c>
      <c r="X59" s="138">
        <f t="shared" si="29"/>
        <v>12</v>
      </c>
      <c r="Y59" s="138">
        <f t="shared" si="29"/>
        <v>15</v>
      </c>
      <c r="Z59" s="138">
        <f t="shared" si="29"/>
        <v>22</v>
      </c>
      <c r="AA59" s="138">
        <f t="shared" si="29"/>
        <v>23</v>
      </c>
      <c r="AB59" s="138">
        <f t="shared" si="29"/>
        <v>19</v>
      </c>
      <c r="AC59" s="138">
        <f t="shared" si="29"/>
        <v>25</v>
      </c>
      <c r="AD59" s="138">
        <f t="shared" si="29"/>
        <v>21</v>
      </c>
      <c r="AE59" s="138">
        <f t="shared" si="29"/>
        <v>25</v>
      </c>
      <c r="AF59" s="138">
        <f t="shared" si="29"/>
        <v>24</v>
      </c>
      <c r="AG59" s="138">
        <f t="shared" si="29"/>
        <v>23</v>
      </c>
      <c r="AH59" s="138">
        <f t="shared" si="29"/>
        <v>26</v>
      </c>
      <c r="AI59" s="138">
        <f t="shared" si="29"/>
        <v>20</v>
      </c>
      <c r="AJ59" s="138">
        <f t="shared" si="29"/>
        <v>12</v>
      </c>
      <c r="AK59" s="138">
        <f t="shared" si="29"/>
        <v>15</v>
      </c>
      <c r="AL59" s="138">
        <f t="shared" si="29"/>
        <v>22</v>
      </c>
      <c r="AM59" s="138">
        <f t="shared" si="29"/>
        <v>23</v>
      </c>
      <c r="AN59" s="138">
        <f t="shared" si="29"/>
        <v>19</v>
      </c>
      <c r="AO59" s="138">
        <f t="shared" si="29"/>
        <v>25</v>
      </c>
      <c r="AP59" s="138">
        <f t="shared" si="29"/>
        <v>21</v>
      </c>
      <c r="AQ59" s="138">
        <f t="shared" si="29"/>
        <v>25</v>
      </c>
      <c r="AR59" s="138">
        <f t="shared" si="29"/>
        <v>24</v>
      </c>
      <c r="AS59" s="138">
        <f t="shared" si="29"/>
        <v>23</v>
      </c>
      <c r="AT59" s="138">
        <f t="shared" si="29"/>
        <v>26</v>
      </c>
      <c r="AU59" s="138">
        <f t="shared" si="29"/>
        <v>20</v>
      </c>
      <c r="AV59" s="138">
        <f t="shared" si="29"/>
        <v>12</v>
      </c>
      <c r="AW59" s="138">
        <f t="shared" si="29"/>
        <v>15</v>
      </c>
      <c r="AX59" s="138">
        <f t="shared" si="29"/>
        <v>22</v>
      </c>
      <c r="AY59" s="138">
        <f t="shared" si="29"/>
        <v>23</v>
      </c>
      <c r="AZ59" s="138">
        <f t="shared" si="29"/>
        <v>19</v>
      </c>
      <c r="BA59" s="138">
        <f t="shared" si="29"/>
        <v>25</v>
      </c>
      <c r="BB59" s="138">
        <f t="shared" si="29"/>
        <v>21</v>
      </c>
      <c r="BC59" s="138">
        <f t="shared" si="29"/>
        <v>25</v>
      </c>
      <c r="BD59" s="138">
        <f t="shared" si="29"/>
        <v>24</v>
      </c>
      <c r="BE59" s="138">
        <f t="shared" si="29"/>
        <v>23</v>
      </c>
      <c r="BF59" s="138">
        <f t="shared" si="29"/>
        <v>26</v>
      </c>
      <c r="BG59" s="138">
        <f t="shared" si="29"/>
        <v>20</v>
      </c>
      <c r="BH59" s="138">
        <f t="shared" si="29"/>
        <v>12</v>
      </c>
      <c r="BI59" s="138">
        <f t="shared" si="29"/>
        <v>15</v>
      </c>
      <c r="BJ59" s="138">
        <f t="shared" si="29"/>
        <v>22</v>
      </c>
      <c r="BK59" s="138">
        <f t="shared" si="29"/>
        <v>23</v>
      </c>
      <c r="BL59" s="138">
        <f t="shared" si="29"/>
        <v>19</v>
      </c>
      <c r="BM59" s="138">
        <f t="shared" si="29"/>
        <v>25</v>
      </c>
      <c r="BN59" s="138">
        <f t="shared" si="29"/>
        <v>21</v>
      </c>
      <c r="BO59" s="138">
        <f t="shared" si="29"/>
        <v>25</v>
      </c>
      <c r="BP59" s="138">
        <f t="shared" si="29"/>
        <v>24</v>
      </c>
      <c r="BQ59" s="138">
        <f t="shared" si="29"/>
        <v>23</v>
      </c>
      <c r="BR59" s="138">
        <f t="shared" si="29"/>
        <v>26</v>
      </c>
      <c r="BS59" s="138">
        <f t="shared" si="29"/>
        <v>20</v>
      </c>
      <c r="BT59" s="138">
        <f t="shared" si="29"/>
        <v>12</v>
      </c>
      <c r="BU59" s="138">
        <f t="shared" si="29"/>
        <v>15</v>
      </c>
      <c r="BV59" s="138">
        <f t="shared" si="29"/>
        <v>22</v>
      </c>
      <c r="BW59" s="138">
        <f t="shared" si="29"/>
        <v>23</v>
      </c>
      <c r="BX59" s="138">
        <f t="shared" si="29"/>
        <v>19</v>
      </c>
      <c r="BY59" s="138">
        <f t="shared" si="29"/>
        <v>25</v>
      </c>
      <c r="BZ59" s="138">
        <f t="shared" si="29"/>
        <v>21</v>
      </c>
      <c r="CA59" s="138">
        <f t="shared" si="29"/>
        <v>25</v>
      </c>
      <c r="CB59" s="138">
        <f t="shared" si="29"/>
        <v>24</v>
      </c>
      <c r="CC59" s="138">
        <f t="shared" si="29"/>
        <v>23</v>
      </c>
      <c r="CD59" s="138">
        <f t="shared" si="29"/>
        <v>26</v>
      </c>
      <c r="CE59" s="138">
        <f t="shared" si="29"/>
        <v>20</v>
      </c>
      <c r="CF59" s="138">
        <f t="shared" si="29"/>
        <v>12</v>
      </c>
      <c r="CG59" s="138">
        <f t="shared" si="29"/>
        <v>15</v>
      </c>
      <c r="CH59" s="138">
        <f t="shared" ref="CH59:CZ59" si="30">BV59</f>
        <v>22</v>
      </c>
      <c r="CI59" s="138">
        <f t="shared" si="30"/>
        <v>23</v>
      </c>
      <c r="CJ59" s="138">
        <f t="shared" si="30"/>
        <v>19</v>
      </c>
      <c r="CK59" s="138">
        <f t="shared" si="30"/>
        <v>25</v>
      </c>
      <c r="CL59" s="138">
        <f t="shared" si="30"/>
        <v>21</v>
      </c>
      <c r="CM59" s="138">
        <f t="shared" si="30"/>
        <v>25</v>
      </c>
      <c r="CN59" s="138">
        <f t="shared" si="30"/>
        <v>24</v>
      </c>
      <c r="CO59" s="138">
        <f t="shared" si="30"/>
        <v>23</v>
      </c>
      <c r="CP59" s="138">
        <f t="shared" si="30"/>
        <v>26</v>
      </c>
      <c r="CQ59" s="138">
        <f t="shared" si="30"/>
        <v>20</v>
      </c>
      <c r="CR59" s="138">
        <f t="shared" si="30"/>
        <v>12</v>
      </c>
      <c r="CS59" s="138">
        <f t="shared" si="30"/>
        <v>15</v>
      </c>
      <c r="CT59" s="138">
        <f t="shared" si="30"/>
        <v>22</v>
      </c>
      <c r="CU59" s="138">
        <f t="shared" si="30"/>
        <v>23</v>
      </c>
      <c r="CV59" s="138">
        <f t="shared" si="30"/>
        <v>19</v>
      </c>
      <c r="CW59" s="138">
        <f t="shared" si="30"/>
        <v>25</v>
      </c>
      <c r="CX59" s="138">
        <f t="shared" si="30"/>
        <v>21</v>
      </c>
      <c r="CY59" s="138">
        <f t="shared" si="30"/>
        <v>25</v>
      </c>
      <c r="CZ59" s="162">
        <f t="shared" si="30"/>
        <v>24</v>
      </c>
      <c r="DA59" s="1"/>
    </row>
    <row r="60" spans="1:106" ht="15" thickBot="1" x14ac:dyDescent="0.4">
      <c r="A60" s="383" t="s">
        <v>35</v>
      </c>
      <c r="B60" s="384"/>
      <c r="C60" s="384"/>
      <c r="D60" s="384"/>
      <c r="E60" s="385"/>
      <c r="F60" s="112"/>
      <c r="G60" s="112"/>
      <c r="H60" s="79"/>
      <c r="I60" s="140">
        <f t="shared" ref="I60:U62" si="31">H60+I59</f>
        <v>23</v>
      </c>
      <c r="J60" s="47">
        <f t="shared" si="31"/>
        <v>49</v>
      </c>
      <c r="K60" s="47">
        <f t="shared" si="31"/>
        <v>69</v>
      </c>
      <c r="L60" s="47">
        <f t="shared" si="31"/>
        <v>81</v>
      </c>
      <c r="M60" s="47">
        <f t="shared" si="31"/>
        <v>96</v>
      </c>
      <c r="N60" s="47">
        <f t="shared" si="31"/>
        <v>118</v>
      </c>
      <c r="O60" s="47">
        <f t="shared" si="31"/>
        <v>141</v>
      </c>
      <c r="P60" s="47">
        <f t="shared" si="31"/>
        <v>160</v>
      </c>
      <c r="Q60" s="47">
        <f t="shared" si="31"/>
        <v>185</v>
      </c>
      <c r="R60" s="47">
        <f t="shared" si="31"/>
        <v>206</v>
      </c>
      <c r="S60" s="47">
        <f t="shared" si="31"/>
        <v>231</v>
      </c>
      <c r="T60" s="47">
        <f t="shared" si="31"/>
        <v>255</v>
      </c>
      <c r="U60" s="47">
        <f t="shared" si="31"/>
        <v>278</v>
      </c>
      <c r="V60" s="47">
        <f t="shared" ref="V60" si="32">U60+V59</f>
        <v>304</v>
      </c>
      <c r="W60" s="47">
        <f t="shared" ref="W60" si="33">V60+W59</f>
        <v>324</v>
      </c>
      <c r="X60" s="47">
        <f t="shared" ref="X60" si="34">W60+X59</f>
        <v>336</v>
      </c>
      <c r="Y60" s="47">
        <f t="shared" ref="Y60" si="35">X60+Y59</f>
        <v>351</v>
      </c>
      <c r="Z60" s="47">
        <f t="shared" ref="Z60" si="36">Y60+Z59</f>
        <v>373</v>
      </c>
      <c r="AA60" s="47">
        <f t="shared" ref="AA60" si="37">Z60+AA59</f>
        <v>396</v>
      </c>
      <c r="AB60" s="47">
        <f t="shared" ref="AB60" si="38">AA60+AB59</f>
        <v>415</v>
      </c>
      <c r="AC60" s="47">
        <f t="shared" ref="AC60" si="39">AB60+AC59</f>
        <v>440</v>
      </c>
      <c r="AD60" s="47">
        <f t="shared" ref="AD60" si="40">AC60+AD59</f>
        <v>461</v>
      </c>
      <c r="AE60" s="47">
        <f t="shared" ref="AE60" si="41">AD60+AE59</f>
        <v>486</v>
      </c>
      <c r="AF60" s="47">
        <f t="shared" ref="AF60" si="42">AE60+AF59</f>
        <v>510</v>
      </c>
      <c r="AG60" s="47">
        <f t="shared" ref="AG60" si="43">AF60+AG59</f>
        <v>533</v>
      </c>
      <c r="AH60" s="47">
        <f t="shared" ref="AH60" si="44">AG60+AH59</f>
        <v>559</v>
      </c>
      <c r="AI60" s="47">
        <f t="shared" ref="AI60" si="45">AH60+AI59</f>
        <v>579</v>
      </c>
      <c r="AJ60" s="47">
        <f t="shared" ref="AJ60" si="46">AI60+AJ59</f>
        <v>591</v>
      </c>
      <c r="AK60" s="47">
        <f t="shared" ref="AK60" si="47">AJ60+AK59</f>
        <v>606</v>
      </c>
      <c r="AL60" s="47">
        <f t="shared" ref="AL60" si="48">AK60+AL59</f>
        <v>628</v>
      </c>
      <c r="AM60" s="47">
        <f t="shared" ref="AM60" si="49">AL60+AM59</f>
        <v>651</v>
      </c>
      <c r="AN60" s="47">
        <f t="shared" ref="AN60" si="50">AM60+AN59</f>
        <v>670</v>
      </c>
      <c r="AO60" s="47">
        <f t="shared" ref="AO60" si="51">AN60+AO59</f>
        <v>695</v>
      </c>
      <c r="AP60" s="47">
        <f t="shared" ref="AP60" si="52">AO60+AP59</f>
        <v>716</v>
      </c>
      <c r="AQ60" s="47">
        <f t="shared" ref="AQ60" si="53">AP60+AQ59</f>
        <v>741</v>
      </c>
      <c r="AR60" s="47">
        <f t="shared" ref="AR60" si="54">AQ60+AR59</f>
        <v>765</v>
      </c>
      <c r="AS60" s="47">
        <f t="shared" ref="AS60" si="55">AR60+AS59</f>
        <v>788</v>
      </c>
      <c r="AT60" s="47">
        <f t="shared" ref="AT60" si="56">AS60+AT59</f>
        <v>814</v>
      </c>
      <c r="AU60" s="47">
        <f t="shared" ref="AU60" si="57">AT60+AU59</f>
        <v>834</v>
      </c>
      <c r="AV60" s="47">
        <f t="shared" ref="AV60" si="58">AU60+AV59</f>
        <v>846</v>
      </c>
      <c r="AW60" s="47">
        <f t="shared" ref="AW60" si="59">AV60+AW59</f>
        <v>861</v>
      </c>
      <c r="AX60" s="47">
        <f t="shared" ref="AX60" si="60">AW60+AX59</f>
        <v>883</v>
      </c>
      <c r="AY60" s="47">
        <f t="shared" ref="AY60" si="61">AX60+AY59</f>
        <v>906</v>
      </c>
      <c r="AZ60" s="47">
        <f t="shared" ref="AZ60" si="62">AY60+AZ59</f>
        <v>925</v>
      </c>
      <c r="BA60" s="47">
        <f t="shared" ref="BA60" si="63">AZ60+BA59</f>
        <v>950</v>
      </c>
      <c r="BB60" s="47">
        <f t="shared" ref="BB60" si="64">BA60+BB59</f>
        <v>971</v>
      </c>
      <c r="BC60" s="47">
        <f t="shared" ref="BC60" si="65">BB60+BC59</f>
        <v>996</v>
      </c>
      <c r="BD60" s="47">
        <f t="shared" ref="BD60" si="66">BC60+BD59</f>
        <v>1020</v>
      </c>
      <c r="BE60" s="47">
        <f t="shared" ref="BE60" si="67">BD60+BE59</f>
        <v>1043</v>
      </c>
      <c r="BF60" s="47">
        <f t="shared" ref="BF60" si="68">BE60+BF59</f>
        <v>1069</v>
      </c>
      <c r="BG60" s="47">
        <f t="shared" ref="BG60" si="69">BF60+BG59</f>
        <v>1089</v>
      </c>
      <c r="BH60" s="47">
        <f t="shared" ref="BH60" si="70">BG60+BH59</f>
        <v>1101</v>
      </c>
      <c r="BI60" s="47">
        <f t="shared" ref="BI60" si="71">BH60+BI59</f>
        <v>1116</v>
      </c>
      <c r="BJ60" s="47">
        <f t="shared" ref="BJ60" si="72">BI60+BJ59</f>
        <v>1138</v>
      </c>
      <c r="BK60" s="47">
        <f t="shared" ref="BK60" si="73">BJ60+BK59</f>
        <v>1161</v>
      </c>
      <c r="BL60" s="47">
        <f t="shared" ref="BL60" si="74">BK60+BL59</f>
        <v>1180</v>
      </c>
      <c r="BM60" s="47">
        <f t="shared" ref="BM60" si="75">BL60+BM59</f>
        <v>1205</v>
      </c>
      <c r="BN60" s="47">
        <f t="shared" ref="BN60" si="76">BM60+BN59</f>
        <v>1226</v>
      </c>
      <c r="BO60" s="47">
        <f t="shared" ref="BO60" si="77">BN60+BO59</f>
        <v>1251</v>
      </c>
      <c r="BP60" s="47">
        <f t="shared" ref="BP60" si="78">BO60+BP59</f>
        <v>1275</v>
      </c>
      <c r="BQ60" s="47">
        <f t="shared" ref="BQ60" si="79">BP60+BQ59</f>
        <v>1298</v>
      </c>
      <c r="BR60" s="47">
        <f t="shared" ref="BR60" si="80">BQ60+BR59</f>
        <v>1324</v>
      </c>
      <c r="BS60" s="47">
        <f t="shared" ref="BS60" si="81">BR60+BS59</f>
        <v>1344</v>
      </c>
      <c r="BT60" s="47">
        <f t="shared" ref="BT60" si="82">BS60+BT59</f>
        <v>1356</v>
      </c>
      <c r="BU60" s="47">
        <f t="shared" ref="BU60" si="83">BT60+BU59</f>
        <v>1371</v>
      </c>
      <c r="BV60" s="47">
        <f t="shared" ref="BV60" si="84">BU60+BV59</f>
        <v>1393</v>
      </c>
      <c r="BW60" s="47">
        <f t="shared" ref="BW60" si="85">BV60+BW59</f>
        <v>1416</v>
      </c>
      <c r="BX60" s="47">
        <f t="shared" ref="BX60" si="86">BW60+BX59</f>
        <v>1435</v>
      </c>
      <c r="BY60" s="47">
        <f t="shared" ref="BY60" si="87">BX60+BY59</f>
        <v>1460</v>
      </c>
      <c r="BZ60" s="47">
        <f t="shared" ref="BZ60" si="88">BY60+BZ59</f>
        <v>1481</v>
      </c>
      <c r="CA60" s="47">
        <f t="shared" ref="CA60" si="89">BZ60+CA59</f>
        <v>1506</v>
      </c>
      <c r="CB60" s="47">
        <f t="shared" ref="CB60" si="90">CA60+CB59</f>
        <v>1530</v>
      </c>
      <c r="CC60" s="47">
        <f t="shared" ref="CC60" si="91">CB60+CC59</f>
        <v>1553</v>
      </c>
      <c r="CD60" s="47">
        <f t="shared" ref="CD60" si="92">CC60+CD59</f>
        <v>1579</v>
      </c>
      <c r="CE60" s="47">
        <f t="shared" ref="CE60" si="93">CD60+CE59</f>
        <v>1599</v>
      </c>
      <c r="CF60" s="47">
        <f t="shared" ref="CF60" si="94">CE60+CF59</f>
        <v>1611</v>
      </c>
      <c r="CG60" s="47">
        <f t="shared" ref="CG60" si="95">CF60+CG59</f>
        <v>1626</v>
      </c>
      <c r="CH60" s="47">
        <f t="shared" ref="CH60" si="96">CG60+CH59</f>
        <v>1648</v>
      </c>
      <c r="CI60" s="47">
        <f t="shared" ref="CI60" si="97">CH60+CI59</f>
        <v>1671</v>
      </c>
      <c r="CJ60" s="47">
        <f t="shared" ref="CJ60" si="98">CI60+CJ59</f>
        <v>1690</v>
      </c>
      <c r="CK60" s="47">
        <f t="shared" ref="CK60" si="99">CJ60+CK59</f>
        <v>1715</v>
      </c>
      <c r="CL60" s="47">
        <f t="shared" ref="CL60" si="100">CK60+CL59</f>
        <v>1736</v>
      </c>
      <c r="CM60" s="47">
        <f t="shared" ref="CM60" si="101">CL60+CM59</f>
        <v>1761</v>
      </c>
      <c r="CN60" s="47">
        <f t="shared" ref="CN60" si="102">CM60+CN59</f>
        <v>1785</v>
      </c>
      <c r="CO60" s="47">
        <f t="shared" ref="CO60" si="103">CN60+CO59</f>
        <v>1808</v>
      </c>
      <c r="CP60" s="47">
        <f t="shared" ref="CP60" si="104">CO60+CP59</f>
        <v>1834</v>
      </c>
      <c r="CQ60" s="47">
        <f t="shared" ref="CQ60" si="105">CP60+CQ59</f>
        <v>1854</v>
      </c>
      <c r="CR60" s="47">
        <f t="shared" ref="CR60" si="106">CQ60+CR59</f>
        <v>1866</v>
      </c>
      <c r="CS60" s="47">
        <f t="shared" ref="CS60" si="107">CR60+CS59</f>
        <v>1881</v>
      </c>
      <c r="CT60" s="47">
        <f t="shared" ref="CT60" si="108">CS60+CT59</f>
        <v>1903</v>
      </c>
      <c r="CU60" s="47">
        <f t="shared" ref="CU60" si="109">CT60+CU59</f>
        <v>1926</v>
      </c>
      <c r="CV60" s="47">
        <f t="shared" ref="CV60" si="110">CU60+CV59</f>
        <v>1945</v>
      </c>
      <c r="CW60" s="47">
        <f t="shared" ref="CW60" si="111">CV60+CW59</f>
        <v>1970</v>
      </c>
      <c r="CX60" s="47">
        <f t="shared" ref="CX60" si="112">CW60+CX59</f>
        <v>1991</v>
      </c>
      <c r="CY60" s="47">
        <f t="shared" ref="CY60" si="113">CX60+CY59</f>
        <v>2016</v>
      </c>
      <c r="CZ60" s="163">
        <f t="shared" ref="CZ60" si="114">CY60+CZ59</f>
        <v>2040</v>
      </c>
      <c r="DA60" s="1"/>
    </row>
    <row r="61" spans="1:106" ht="28.5" customHeight="1" thickBot="1" x14ac:dyDescent="0.4">
      <c r="A61" s="387" t="s">
        <v>274</v>
      </c>
      <c r="B61" s="388"/>
      <c r="C61" s="389"/>
      <c r="D61" s="390">
        <f>+D59-D51</f>
        <v>826.98449423963132</v>
      </c>
      <c r="E61" s="391"/>
      <c r="F61" s="170">
        <f>D61/D59</f>
        <v>0.91379502125926115</v>
      </c>
      <c r="G61" s="170"/>
      <c r="H61" s="143"/>
      <c r="I61" s="139">
        <f t="shared" ref="I61:AR61" si="115">+I59-I51</f>
        <v>20.815479166666666</v>
      </c>
      <c r="J61" s="139">
        <f t="shared" si="115"/>
        <v>22.687258064516129</v>
      </c>
      <c r="K61" s="139">
        <f t="shared" si="115"/>
        <v>15.4825</v>
      </c>
      <c r="L61" s="139">
        <f t="shared" si="115"/>
        <v>8.6962903225806443</v>
      </c>
      <c r="M61" s="139">
        <f t="shared" si="115"/>
        <v>12.189516129032258</v>
      </c>
      <c r="N61" s="139">
        <f t="shared" si="115"/>
        <v>18.559553571428573</v>
      </c>
      <c r="O61" s="139">
        <f t="shared" si="115"/>
        <v>19.91725806451613</v>
      </c>
      <c r="P61" s="139">
        <f t="shared" si="115"/>
        <v>15.162791666666667</v>
      </c>
      <c r="Q61" s="139">
        <f t="shared" si="115"/>
        <v>19.322580645161288</v>
      </c>
      <c r="R61" s="139">
        <f t="shared" si="115"/>
        <v>18.463875000000002</v>
      </c>
      <c r="S61" s="139">
        <f t="shared" si="115"/>
        <v>22.241935483870968</v>
      </c>
      <c r="T61" s="139">
        <f t="shared" si="115"/>
        <v>21.007096774193549</v>
      </c>
      <c r="U61" s="139">
        <f t="shared" si="115"/>
        <v>20.815479166666666</v>
      </c>
      <c r="V61" s="139">
        <f t="shared" si="115"/>
        <v>22.687258064516129</v>
      </c>
      <c r="W61" s="139">
        <f t="shared" si="115"/>
        <v>17.745000000000001</v>
      </c>
      <c r="X61" s="139">
        <f t="shared" si="115"/>
        <v>9.9083870967741934</v>
      </c>
      <c r="Y61" s="139">
        <f t="shared" si="115"/>
        <v>13.282762096774194</v>
      </c>
      <c r="Z61" s="139">
        <f t="shared" si="115"/>
        <v>20.261116071428571</v>
      </c>
      <c r="AA61" s="139">
        <f t="shared" si="115"/>
        <v>21.614435483870967</v>
      </c>
      <c r="AB61" s="139">
        <f t="shared" si="115"/>
        <v>17.365604166666667</v>
      </c>
      <c r="AC61" s="139">
        <f t="shared" si="115"/>
        <v>22.63407258064516</v>
      </c>
      <c r="AD61" s="139">
        <f t="shared" si="115"/>
        <v>18.482250000000001</v>
      </c>
      <c r="AE61" s="139">
        <f t="shared" si="115"/>
        <v>24.205645161290324</v>
      </c>
      <c r="AF61" s="139">
        <f t="shared" si="115"/>
        <v>22.965806451612902</v>
      </c>
      <c r="AG61" s="139">
        <f t="shared" si="115"/>
        <v>22.571625000000001</v>
      </c>
      <c r="AH61" s="139">
        <f t="shared" si="115"/>
        <v>24.574354838709677</v>
      </c>
      <c r="AI61" s="139">
        <f t="shared" si="115"/>
        <v>19.094999999999999</v>
      </c>
      <c r="AJ61" s="139">
        <f t="shared" si="115"/>
        <v>10.639032258064516</v>
      </c>
      <c r="AK61" s="139">
        <f t="shared" si="115"/>
        <v>13.940524193548388</v>
      </c>
      <c r="AL61" s="139">
        <f t="shared" si="115"/>
        <v>21.309553571428573</v>
      </c>
      <c r="AM61" s="139">
        <f t="shared" si="115"/>
        <v>22.625322580645161</v>
      </c>
      <c r="AN61" s="139">
        <f t="shared" si="115"/>
        <v>18.661958333333335</v>
      </c>
      <c r="AO61" s="139">
        <f t="shared" si="115"/>
        <v>24.534274193548388</v>
      </c>
      <c r="AP61" s="139">
        <f t="shared" si="115"/>
        <v>19.917249999999999</v>
      </c>
      <c r="AQ61" s="139">
        <f t="shared" si="115"/>
        <v>24.205645161290324</v>
      </c>
      <c r="AR61" s="139">
        <f t="shared" si="115"/>
        <v>22.965806451612902</v>
      </c>
      <c r="AS61" s="138">
        <f t="shared" ref="AS61:CG61" si="116">AG61</f>
        <v>22.571625000000001</v>
      </c>
      <c r="AT61" s="138">
        <f t="shared" si="116"/>
        <v>24.574354838709677</v>
      </c>
      <c r="AU61" s="138">
        <f t="shared" si="116"/>
        <v>19.094999999999999</v>
      </c>
      <c r="AV61" s="138">
        <f t="shared" si="116"/>
        <v>10.639032258064516</v>
      </c>
      <c r="AW61" s="138">
        <f t="shared" si="116"/>
        <v>13.940524193548388</v>
      </c>
      <c r="AX61" s="138">
        <f t="shared" si="116"/>
        <v>21.309553571428573</v>
      </c>
      <c r="AY61" s="138">
        <f t="shared" si="116"/>
        <v>22.625322580645161</v>
      </c>
      <c r="AZ61" s="138">
        <f t="shared" si="116"/>
        <v>18.661958333333335</v>
      </c>
      <c r="BA61" s="138">
        <f t="shared" si="116"/>
        <v>24.534274193548388</v>
      </c>
      <c r="BB61" s="138">
        <f t="shared" si="116"/>
        <v>19.917249999999999</v>
      </c>
      <c r="BC61" s="138">
        <f t="shared" si="116"/>
        <v>24.205645161290324</v>
      </c>
      <c r="BD61" s="138">
        <f t="shared" si="116"/>
        <v>22.965806451612902</v>
      </c>
      <c r="BE61" s="138">
        <f t="shared" si="116"/>
        <v>22.571625000000001</v>
      </c>
      <c r="BF61" s="138">
        <f t="shared" si="116"/>
        <v>24.574354838709677</v>
      </c>
      <c r="BG61" s="138">
        <f t="shared" si="116"/>
        <v>19.094999999999999</v>
      </c>
      <c r="BH61" s="138">
        <f t="shared" si="116"/>
        <v>10.639032258064516</v>
      </c>
      <c r="BI61" s="138">
        <f t="shared" si="116"/>
        <v>13.940524193548388</v>
      </c>
      <c r="BJ61" s="138">
        <f t="shared" si="116"/>
        <v>21.309553571428573</v>
      </c>
      <c r="BK61" s="138">
        <f t="shared" si="116"/>
        <v>22.625322580645161</v>
      </c>
      <c r="BL61" s="138">
        <f t="shared" si="116"/>
        <v>18.661958333333335</v>
      </c>
      <c r="BM61" s="138">
        <f t="shared" si="116"/>
        <v>24.534274193548388</v>
      </c>
      <c r="BN61" s="138">
        <f t="shared" si="116"/>
        <v>19.917249999999999</v>
      </c>
      <c r="BO61" s="138">
        <f t="shared" si="116"/>
        <v>24.205645161290324</v>
      </c>
      <c r="BP61" s="138">
        <f t="shared" si="116"/>
        <v>22.965806451612902</v>
      </c>
      <c r="BQ61" s="138">
        <f t="shared" si="116"/>
        <v>22.571625000000001</v>
      </c>
      <c r="BR61" s="138">
        <f t="shared" si="116"/>
        <v>24.574354838709677</v>
      </c>
      <c r="BS61" s="138">
        <f t="shared" si="116"/>
        <v>19.094999999999999</v>
      </c>
      <c r="BT61" s="138">
        <f t="shared" si="116"/>
        <v>10.639032258064516</v>
      </c>
      <c r="BU61" s="138">
        <f t="shared" si="116"/>
        <v>13.940524193548388</v>
      </c>
      <c r="BV61" s="138">
        <f t="shared" si="116"/>
        <v>21.309553571428573</v>
      </c>
      <c r="BW61" s="138">
        <f t="shared" si="116"/>
        <v>22.625322580645161</v>
      </c>
      <c r="BX61" s="138">
        <f t="shared" si="116"/>
        <v>18.661958333333335</v>
      </c>
      <c r="BY61" s="138">
        <f t="shared" si="116"/>
        <v>24.534274193548388</v>
      </c>
      <c r="BZ61" s="138">
        <f t="shared" si="116"/>
        <v>19.917249999999999</v>
      </c>
      <c r="CA61" s="138">
        <f t="shared" si="116"/>
        <v>24.205645161290324</v>
      </c>
      <c r="CB61" s="138">
        <f t="shared" si="116"/>
        <v>22.965806451612902</v>
      </c>
      <c r="CC61" s="138">
        <f t="shared" si="116"/>
        <v>22.571625000000001</v>
      </c>
      <c r="CD61" s="138">
        <f t="shared" si="116"/>
        <v>24.574354838709677</v>
      </c>
      <c r="CE61" s="138">
        <f t="shared" si="116"/>
        <v>19.094999999999999</v>
      </c>
      <c r="CF61" s="138">
        <f t="shared" si="116"/>
        <v>10.639032258064516</v>
      </c>
      <c r="CG61" s="138">
        <f t="shared" si="116"/>
        <v>13.940524193548388</v>
      </c>
      <c r="CH61" s="138">
        <f t="shared" ref="CH61:CZ61" si="117">BV61</f>
        <v>21.309553571428573</v>
      </c>
      <c r="CI61" s="138">
        <f t="shared" si="117"/>
        <v>22.625322580645161</v>
      </c>
      <c r="CJ61" s="138">
        <f t="shared" si="117"/>
        <v>18.661958333333335</v>
      </c>
      <c r="CK61" s="138">
        <f t="shared" si="117"/>
        <v>24.534274193548388</v>
      </c>
      <c r="CL61" s="138">
        <f t="shared" si="117"/>
        <v>19.917249999999999</v>
      </c>
      <c r="CM61" s="138">
        <f t="shared" si="117"/>
        <v>24.205645161290324</v>
      </c>
      <c r="CN61" s="138">
        <f t="shared" si="117"/>
        <v>22.965806451612902</v>
      </c>
      <c r="CO61" s="138">
        <f t="shared" si="117"/>
        <v>22.571625000000001</v>
      </c>
      <c r="CP61" s="138">
        <f t="shared" si="117"/>
        <v>24.574354838709677</v>
      </c>
      <c r="CQ61" s="138">
        <f t="shared" si="117"/>
        <v>19.094999999999999</v>
      </c>
      <c r="CR61" s="138">
        <f t="shared" si="117"/>
        <v>10.639032258064516</v>
      </c>
      <c r="CS61" s="138">
        <f t="shared" si="117"/>
        <v>13.940524193548388</v>
      </c>
      <c r="CT61" s="138">
        <f t="shared" si="117"/>
        <v>21.309553571428573</v>
      </c>
      <c r="CU61" s="138">
        <f t="shared" si="117"/>
        <v>22.625322580645161</v>
      </c>
      <c r="CV61" s="138">
        <f t="shared" si="117"/>
        <v>18.661958333333335</v>
      </c>
      <c r="CW61" s="138">
        <f t="shared" si="117"/>
        <v>24.534274193548388</v>
      </c>
      <c r="CX61" s="138">
        <f t="shared" si="117"/>
        <v>19.917249999999999</v>
      </c>
      <c r="CY61" s="138">
        <f t="shared" si="117"/>
        <v>24.205645161290324</v>
      </c>
      <c r="CZ61" s="162">
        <f t="shared" si="117"/>
        <v>22.965806451612902</v>
      </c>
      <c r="DA61" s="1"/>
    </row>
    <row r="62" spans="1:106" ht="15" thickBot="1" x14ac:dyDescent="0.4">
      <c r="A62" s="383" t="s">
        <v>34</v>
      </c>
      <c r="B62" s="384"/>
      <c r="C62" s="384"/>
      <c r="D62" s="384"/>
      <c r="E62" s="385"/>
      <c r="F62" s="112"/>
      <c r="G62" s="112"/>
      <c r="H62" s="144"/>
      <c r="I62" s="141">
        <f t="shared" si="31"/>
        <v>20.815479166666666</v>
      </c>
      <c r="J62" s="122">
        <f t="shared" ref="J62" si="118">I62+J61</f>
        <v>43.502737231182792</v>
      </c>
      <c r="K62" s="122">
        <f t="shared" ref="K62" si="119">J62+K61</f>
        <v>58.985237231182793</v>
      </c>
      <c r="L62" s="122">
        <f t="shared" ref="L62" si="120">K62+L61</f>
        <v>67.681527553763431</v>
      </c>
      <c r="M62" s="122">
        <f t="shared" ref="M62" si="121">L62+M61</f>
        <v>79.871043682795687</v>
      </c>
      <c r="N62" s="122">
        <f t="shared" ref="N62" si="122">M62+N61</f>
        <v>98.430597254224267</v>
      </c>
      <c r="O62" s="122">
        <f t="shared" ref="O62" si="123">N62+O61</f>
        <v>118.3478553187404</v>
      </c>
      <c r="P62" s="122">
        <f t="shared" ref="P62" si="124">O62+P61</f>
        <v>133.51064698540708</v>
      </c>
      <c r="Q62" s="122">
        <f t="shared" ref="Q62" si="125">P62+Q61</f>
        <v>152.83322763056836</v>
      </c>
      <c r="R62" s="122">
        <f t="shared" ref="R62" si="126">Q62+R61</f>
        <v>171.29710263056836</v>
      </c>
      <c r="S62" s="122">
        <f t="shared" ref="S62" si="127">R62+S61</f>
        <v>193.53903811443934</v>
      </c>
      <c r="T62" s="122">
        <f t="shared" ref="T62:U62" si="128">S62+T61</f>
        <v>214.54613488863288</v>
      </c>
      <c r="U62" s="122">
        <f t="shared" si="128"/>
        <v>235.36161405529955</v>
      </c>
      <c r="V62" s="122">
        <f t="shared" ref="V62" si="129">U62+V61</f>
        <v>258.04887211981566</v>
      </c>
      <c r="W62" s="122">
        <f t="shared" ref="W62" si="130">V62+W61</f>
        <v>275.79387211981566</v>
      </c>
      <c r="X62" s="122">
        <f t="shared" ref="X62" si="131">W62+X61</f>
        <v>285.70225921658988</v>
      </c>
      <c r="Y62" s="122">
        <f t="shared" ref="Y62" si="132">X62+Y61</f>
        <v>298.98502131336409</v>
      </c>
      <c r="Z62" s="122">
        <f t="shared" ref="Z62" si="133">Y62+Z61</f>
        <v>319.24613738479263</v>
      </c>
      <c r="AA62" s="122">
        <f t="shared" ref="AA62" si="134">Z62+AA61</f>
        <v>340.86057286866361</v>
      </c>
      <c r="AB62" s="122">
        <f t="shared" ref="AB62" si="135">AA62+AB61</f>
        <v>358.22617703533029</v>
      </c>
      <c r="AC62" s="122">
        <f t="shared" ref="AC62" si="136">AB62+AC61</f>
        <v>380.86024961597548</v>
      </c>
      <c r="AD62" s="122">
        <f t="shared" ref="AD62" si="137">AC62+AD61</f>
        <v>399.3424996159755</v>
      </c>
      <c r="AE62" s="122">
        <f t="shared" ref="AE62" si="138">AD62+AE61</f>
        <v>423.5481447772658</v>
      </c>
      <c r="AF62" s="122">
        <f t="shared" ref="AF62" si="139">AE62+AF61</f>
        <v>446.51395122887868</v>
      </c>
      <c r="AG62" s="122">
        <f t="shared" ref="AG62" si="140">AF62+AG61</f>
        <v>469.08557622887867</v>
      </c>
      <c r="AH62" s="122">
        <f t="shared" ref="AH62" si="141">AG62+AH61</f>
        <v>493.65993106758833</v>
      </c>
      <c r="AI62" s="122">
        <f t="shared" ref="AI62" si="142">AH62+AI61</f>
        <v>512.75493106758836</v>
      </c>
      <c r="AJ62" s="122">
        <f t="shared" ref="AJ62" si="143">AI62+AJ61</f>
        <v>523.39396332565286</v>
      </c>
      <c r="AK62" s="122">
        <f t="shared" ref="AK62" si="144">AJ62+AK61</f>
        <v>537.33448751920128</v>
      </c>
      <c r="AL62" s="122">
        <f t="shared" ref="AL62" si="145">AK62+AL61</f>
        <v>558.6440410906298</v>
      </c>
      <c r="AM62" s="122">
        <f t="shared" ref="AM62" si="146">AL62+AM61</f>
        <v>581.26936367127496</v>
      </c>
      <c r="AN62" s="122">
        <f t="shared" ref="AN62" si="147">AM62+AN61</f>
        <v>599.93132200460832</v>
      </c>
      <c r="AO62" s="122">
        <f t="shared" ref="AO62" si="148">AN62+AO61</f>
        <v>624.46559619815673</v>
      </c>
      <c r="AP62" s="122">
        <f t="shared" ref="AP62" si="149">AO62+AP61</f>
        <v>644.3828461981567</v>
      </c>
      <c r="AQ62" s="122">
        <f t="shared" ref="AQ62" si="150">AP62+AQ61</f>
        <v>668.58849135944706</v>
      </c>
      <c r="AR62" s="122">
        <f t="shared" ref="AR62" si="151">AQ62+AR61</f>
        <v>691.55429781106</v>
      </c>
      <c r="AS62" s="122">
        <f t="shared" ref="AS62" si="152">AR62+AS61</f>
        <v>714.12592281106004</v>
      </c>
      <c r="AT62" s="122">
        <f t="shared" ref="AT62" si="153">AS62+AT61</f>
        <v>738.70027764976976</v>
      </c>
      <c r="AU62" s="122">
        <f t="shared" ref="AU62" si="154">AT62+AU61</f>
        <v>757.79527764976979</v>
      </c>
      <c r="AV62" s="122">
        <f t="shared" ref="AV62" si="155">AU62+AV61</f>
        <v>768.43430990783429</v>
      </c>
      <c r="AW62" s="122">
        <f t="shared" ref="AW62" si="156">AV62+AW61</f>
        <v>782.3748341013827</v>
      </c>
      <c r="AX62" s="122">
        <f t="shared" ref="AX62" si="157">AW62+AX61</f>
        <v>803.68438767281123</v>
      </c>
      <c r="AY62" s="122">
        <f t="shared" ref="AY62" si="158">AX62+AY61</f>
        <v>826.30971025345639</v>
      </c>
      <c r="AZ62" s="122">
        <f t="shared" ref="AZ62" si="159">AY62+AZ61</f>
        <v>844.97166858678975</v>
      </c>
      <c r="BA62" s="122">
        <f t="shared" ref="BA62" si="160">AZ62+BA61</f>
        <v>869.50594278033816</v>
      </c>
      <c r="BB62" s="122">
        <f t="shared" ref="BB62" si="161">BA62+BB61</f>
        <v>889.42319278033813</v>
      </c>
      <c r="BC62" s="122">
        <f t="shared" ref="BC62" si="162">BB62+BC61</f>
        <v>913.62883794162849</v>
      </c>
      <c r="BD62" s="122">
        <f t="shared" ref="BD62" si="163">BC62+BD61</f>
        <v>936.59464439324142</v>
      </c>
      <c r="BE62" s="122">
        <f t="shared" ref="BE62" si="164">BD62+BE61</f>
        <v>959.16626939324146</v>
      </c>
      <c r="BF62" s="122">
        <f t="shared" ref="BF62" si="165">BE62+BF61</f>
        <v>983.74062423195119</v>
      </c>
      <c r="BG62" s="122">
        <f t="shared" ref="BG62" si="166">BF62+BG61</f>
        <v>1002.8356242319512</v>
      </c>
      <c r="BH62" s="122">
        <f t="shared" ref="BH62" si="167">BG62+BH61</f>
        <v>1013.4746564900157</v>
      </c>
      <c r="BI62" s="122">
        <f t="shared" ref="BI62" si="168">BH62+BI61</f>
        <v>1027.4151806835641</v>
      </c>
      <c r="BJ62" s="122">
        <f t="shared" ref="BJ62" si="169">BI62+BJ61</f>
        <v>1048.7247342549927</v>
      </c>
      <c r="BK62" s="122">
        <f t="shared" ref="BK62" si="170">BJ62+BK61</f>
        <v>1071.3500568356378</v>
      </c>
      <c r="BL62" s="122">
        <f t="shared" ref="BL62" si="171">BK62+BL61</f>
        <v>1090.0120151689712</v>
      </c>
      <c r="BM62" s="122">
        <f t="shared" ref="BM62" si="172">BL62+BM61</f>
        <v>1114.5462893625195</v>
      </c>
      <c r="BN62" s="122">
        <f t="shared" ref="BN62" si="173">BM62+BN61</f>
        <v>1134.4635393625194</v>
      </c>
      <c r="BO62" s="122">
        <f t="shared" ref="BO62" si="174">BN62+BO61</f>
        <v>1158.6691845238097</v>
      </c>
      <c r="BP62" s="122">
        <f t="shared" ref="BP62" si="175">BO62+BP61</f>
        <v>1181.6349909754226</v>
      </c>
      <c r="BQ62" s="122">
        <f t="shared" ref="BQ62" si="176">BP62+BQ61</f>
        <v>1204.2066159754227</v>
      </c>
      <c r="BR62" s="122">
        <f t="shared" ref="BR62" si="177">BQ62+BR61</f>
        <v>1228.7809708141324</v>
      </c>
      <c r="BS62" s="122">
        <f t="shared" ref="BS62" si="178">BR62+BS61</f>
        <v>1247.8759708141324</v>
      </c>
      <c r="BT62" s="122">
        <f t="shared" ref="BT62" si="179">BS62+BT61</f>
        <v>1258.515003072197</v>
      </c>
      <c r="BU62" s="122">
        <f t="shared" ref="BU62" si="180">BT62+BU61</f>
        <v>1272.4555272657453</v>
      </c>
      <c r="BV62" s="122">
        <f t="shared" ref="BV62" si="181">BU62+BV61</f>
        <v>1293.7650808371739</v>
      </c>
      <c r="BW62" s="122">
        <f t="shared" ref="BW62" si="182">BV62+BW61</f>
        <v>1316.390403417819</v>
      </c>
      <c r="BX62" s="122">
        <f t="shared" ref="BX62" si="183">BW62+BX61</f>
        <v>1335.0523617511524</v>
      </c>
      <c r="BY62" s="122">
        <f t="shared" ref="BY62" si="184">BX62+BY61</f>
        <v>1359.5866359447007</v>
      </c>
      <c r="BZ62" s="122">
        <f t="shared" ref="BZ62" si="185">BY62+BZ61</f>
        <v>1379.5038859447006</v>
      </c>
      <c r="CA62" s="122">
        <f t="shared" ref="CA62" si="186">BZ62+CA61</f>
        <v>1403.7095311059909</v>
      </c>
      <c r="CB62" s="122">
        <f t="shared" ref="CB62" si="187">CA62+CB61</f>
        <v>1426.6753375576038</v>
      </c>
      <c r="CC62" s="122">
        <f t="shared" ref="CC62" si="188">CB62+CC61</f>
        <v>1449.2469625576039</v>
      </c>
      <c r="CD62" s="122">
        <f t="shared" ref="CD62" si="189">CC62+CD61</f>
        <v>1473.8213173963136</v>
      </c>
      <c r="CE62" s="122">
        <f t="shared" ref="CE62" si="190">CD62+CE61</f>
        <v>1492.9163173963136</v>
      </c>
      <c r="CF62" s="122">
        <f t="shared" ref="CF62" si="191">CE62+CF61</f>
        <v>1503.5553496543782</v>
      </c>
      <c r="CG62" s="122">
        <f t="shared" ref="CG62" si="192">CF62+CG61</f>
        <v>1517.4958738479265</v>
      </c>
      <c r="CH62" s="122">
        <f t="shared" ref="CH62" si="193">CG62+CH61</f>
        <v>1538.8054274193551</v>
      </c>
      <c r="CI62" s="122">
        <f t="shared" ref="CI62" si="194">CH62+CI61</f>
        <v>1561.4307500000002</v>
      </c>
      <c r="CJ62" s="122">
        <f t="shared" ref="CJ62" si="195">CI62+CJ61</f>
        <v>1580.0927083333336</v>
      </c>
      <c r="CK62" s="122">
        <f t="shared" ref="CK62" si="196">CJ62+CK61</f>
        <v>1604.6269825268819</v>
      </c>
      <c r="CL62" s="122">
        <f t="shared" ref="CL62" si="197">CK62+CL61</f>
        <v>1624.5442325268818</v>
      </c>
      <c r="CM62" s="122">
        <f t="shared" ref="CM62" si="198">CL62+CM61</f>
        <v>1648.7498776881721</v>
      </c>
      <c r="CN62" s="122">
        <f t="shared" ref="CN62" si="199">CM62+CN61</f>
        <v>1671.715684139785</v>
      </c>
      <c r="CO62" s="122">
        <f t="shared" ref="CO62" si="200">CN62+CO61</f>
        <v>1694.2873091397851</v>
      </c>
      <c r="CP62" s="122">
        <f t="shared" ref="CP62" si="201">CO62+CP61</f>
        <v>1718.8616639784948</v>
      </c>
      <c r="CQ62" s="122">
        <f t="shared" ref="CQ62" si="202">CP62+CQ61</f>
        <v>1737.9566639784948</v>
      </c>
      <c r="CR62" s="122">
        <f t="shared" ref="CR62" si="203">CQ62+CR61</f>
        <v>1748.5956962365594</v>
      </c>
      <c r="CS62" s="122">
        <f t="shared" ref="CS62" si="204">CR62+CS61</f>
        <v>1762.5362204301077</v>
      </c>
      <c r="CT62" s="122">
        <f t="shared" ref="CT62" si="205">CS62+CT61</f>
        <v>1783.8457740015363</v>
      </c>
      <c r="CU62" s="122">
        <f t="shared" ref="CU62" si="206">CT62+CU61</f>
        <v>1806.4710965821814</v>
      </c>
      <c r="CV62" s="122">
        <f t="shared" ref="CV62" si="207">CU62+CV61</f>
        <v>1825.1330549155148</v>
      </c>
      <c r="CW62" s="122">
        <f t="shared" ref="CW62" si="208">CV62+CW61</f>
        <v>1849.6673291090631</v>
      </c>
      <c r="CX62" s="122">
        <f t="shared" ref="CX62" si="209">CW62+CX61</f>
        <v>1869.584579109063</v>
      </c>
      <c r="CY62" s="122">
        <f t="shared" ref="CY62" si="210">CX62+CY61</f>
        <v>1893.7902242703533</v>
      </c>
      <c r="CZ62" s="164">
        <f t="shared" ref="CZ62" si="211">CY62+CZ61</f>
        <v>1916.7560307219662</v>
      </c>
      <c r="DA62" s="1"/>
    </row>
    <row r="63" spans="1:106" x14ac:dyDescent="0.35">
      <c r="A63" s="1"/>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row>
  </sheetData>
  <mergeCells count="80">
    <mergeCell ref="A12:B12"/>
    <mergeCell ref="A14:B14"/>
    <mergeCell ref="A15:B15"/>
    <mergeCell ref="A16:B16"/>
    <mergeCell ref="A17:B17"/>
    <mergeCell ref="A18:B18"/>
    <mergeCell ref="A19:B19"/>
    <mergeCell ref="A20:B20"/>
    <mergeCell ref="A21:B21"/>
    <mergeCell ref="A22:B22"/>
    <mergeCell ref="A29:B29"/>
    <mergeCell ref="A31:E31"/>
    <mergeCell ref="A32:E32"/>
    <mergeCell ref="A23:B23"/>
    <mergeCell ref="A24:B24"/>
    <mergeCell ref="A25:B25"/>
    <mergeCell ref="A26:B26"/>
    <mergeCell ref="A28:B28"/>
    <mergeCell ref="A33:E33"/>
    <mergeCell ref="A34:E34"/>
    <mergeCell ref="A35:E35"/>
    <mergeCell ref="A36:E36"/>
    <mergeCell ref="K36:CZ36"/>
    <mergeCell ref="A37:E37"/>
    <mergeCell ref="H37:CZ37"/>
    <mergeCell ref="A38:E38"/>
    <mergeCell ref="H38:CZ38"/>
    <mergeCell ref="A40:C41"/>
    <mergeCell ref="D40:E41"/>
    <mergeCell ref="A52:C52"/>
    <mergeCell ref="D52:E52"/>
    <mergeCell ref="A62:E62"/>
    <mergeCell ref="A57:C58"/>
    <mergeCell ref="D57:E58"/>
    <mergeCell ref="A59:C59"/>
    <mergeCell ref="D59:E59"/>
    <mergeCell ref="A61:C61"/>
    <mergeCell ref="D61:E61"/>
    <mergeCell ref="A60:E60"/>
    <mergeCell ref="A42:C42"/>
    <mergeCell ref="D42:E42"/>
    <mergeCell ref="D43:E43"/>
    <mergeCell ref="A48:C48"/>
    <mergeCell ref="D48:E48"/>
    <mergeCell ref="D44:E44"/>
    <mergeCell ref="A43:B43"/>
    <mergeCell ref="A44:B44"/>
    <mergeCell ref="K54:CZ54"/>
    <mergeCell ref="K55:CZ55"/>
    <mergeCell ref="A45:C45"/>
    <mergeCell ref="D45:E45"/>
    <mergeCell ref="A46:C46"/>
    <mergeCell ref="D46:E46"/>
    <mergeCell ref="A47:C47"/>
    <mergeCell ref="D47:E47"/>
    <mergeCell ref="A49:C49"/>
    <mergeCell ref="D49:E49"/>
    <mergeCell ref="A50:C50"/>
    <mergeCell ref="D50:E50"/>
    <mergeCell ref="A53:E53"/>
    <mergeCell ref="A54:E55"/>
    <mergeCell ref="A51:C51"/>
    <mergeCell ref="D51:E51"/>
    <mergeCell ref="A10:B10"/>
    <mergeCell ref="A11:B11"/>
    <mergeCell ref="D5:E5"/>
    <mergeCell ref="A2:CZ2"/>
    <mergeCell ref="A3:CZ3"/>
    <mergeCell ref="A6:CZ6"/>
    <mergeCell ref="A8:B9"/>
    <mergeCell ref="C8:C9"/>
    <mergeCell ref="D8:D9"/>
    <mergeCell ref="E8:E9"/>
    <mergeCell ref="D4:AL4"/>
    <mergeCell ref="DC10:DC11"/>
    <mergeCell ref="DD9:DE9"/>
    <mergeCell ref="DE10:DE11"/>
    <mergeCell ref="E11:F11"/>
    <mergeCell ref="DB2:DF6"/>
    <mergeCell ref="DB9:DC9"/>
  </mergeCells>
  <conditionalFormatting sqref="H11:H12">
    <cfRule type="expression" dxfId="28" priority="76">
      <formula>OR(AND(H$9&gt;=$D11,H$9&lt;=$E11),H$9=$D11+1-DAY($D11))</formula>
    </cfRule>
  </conditionalFormatting>
  <conditionalFormatting sqref="H13:CZ24">
    <cfRule type="expression" dxfId="27" priority="6">
      <formula>OR(AND(H$9&gt;=$D13,H$9&lt;=$E13),H$9=$D13+1-DAY($D13))</formula>
    </cfRule>
  </conditionalFormatting>
  <conditionalFormatting sqref="H32:CZ35">
    <cfRule type="cellIs" dxfId="26" priority="91" operator="equal">
      <formula>"Low"</formula>
    </cfRule>
    <cfRule type="cellIs" dxfId="25" priority="92" operator="equal">
      <formula>"Med"</formula>
    </cfRule>
    <cfRule type="cellIs" dxfId="24" priority="93" operator="equal">
      <formula>"High"</formula>
    </cfRule>
  </conditionalFormatting>
  <conditionalFormatting sqref="I11:CZ11">
    <cfRule type="colorScale" priority="83">
      <colorScale>
        <cfvo type="min"/>
        <cfvo type="percentile" val="50"/>
        <cfvo type="max"/>
        <color rgb="FFF8696B"/>
        <color rgb="FFFCFCFF"/>
        <color rgb="FF5A8AC6"/>
      </colorScale>
    </cfRule>
  </conditionalFormatting>
  <conditionalFormatting sqref="I12:CZ12">
    <cfRule type="expression" dxfId="23" priority="18">
      <formula>OR(AND(I$9&gt;=$D12,I$9&lt;=$E12),I$9=$D12+1-DAY($D12))</formula>
    </cfRule>
  </conditionalFormatting>
  <conditionalFormatting sqref="I26:CZ26">
    <cfRule type="expression" dxfId="22" priority="4">
      <formula>OR(AND(I$9&gt;=$D26,I$9&lt;=$E26),I$9=$D26+1-DAY($D26))</formula>
    </cfRule>
  </conditionalFormatting>
  <conditionalFormatting sqref="I28:CZ28">
    <cfRule type="expression" dxfId="21" priority="2">
      <formula>OR(AND(I$9&gt;=$D28,I$9&lt;=$E28),I$9=$D28+1-DAY($D28))</formula>
    </cfRule>
  </conditionalFormatting>
  <conditionalFormatting sqref="I42:CZ50">
    <cfRule type="cellIs" dxfId="20" priority="1" operator="greaterThan">
      <formula>0</formula>
    </cfRule>
  </conditionalFormatting>
  <printOptions horizontalCentered="1" verticalCentered="1"/>
  <pageMargins left="0.70866141732283472" right="0.70866141732283472" top="0.74803149606299213" bottom="0.74803149606299213" header="0.31496062992125984" footer="0.31496062992125984"/>
  <pageSetup paperSize="8" scale="7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U39"/>
  <sheetViews>
    <sheetView topLeftCell="A9" zoomScaleNormal="100" workbookViewId="0">
      <selection activeCell="C3" sqref="C3:E5"/>
    </sheetView>
  </sheetViews>
  <sheetFormatPr defaultRowHeight="14.5" x14ac:dyDescent="0.35"/>
  <cols>
    <col min="1" max="1" width="8" customWidth="1"/>
    <col min="2" max="2" width="40.453125" bestFit="1" customWidth="1"/>
    <col min="4" max="4" width="13.6328125" customWidth="1"/>
    <col min="8" max="8" width="13.6328125" customWidth="1"/>
    <col min="12" max="12" width="13.6328125" customWidth="1"/>
    <col min="16" max="16" width="13.6328125" customWidth="1"/>
    <col min="20" max="20" width="13.6328125" customWidth="1"/>
  </cols>
  <sheetData>
    <row r="1" spans="2:21" ht="21" x14ac:dyDescent="0.5">
      <c r="B1" s="309" t="s">
        <v>411</v>
      </c>
      <c r="C1" s="310"/>
      <c r="D1" s="310"/>
      <c r="E1" s="311"/>
    </row>
    <row r="2" spans="2:21" ht="15" thickBot="1" x14ac:dyDescent="0.4"/>
    <row r="3" spans="2:21" x14ac:dyDescent="0.35">
      <c r="C3" s="504" t="s">
        <v>391</v>
      </c>
      <c r="D3" s="505"/>
      <c r="E3" s="506"/>
      <c r="G3" s="504" t="s">
        <v>119</v>
      </c>
      <c r="H3" s="505"/>
      <c r="I3" s="506"/>
      <c r="K3" s="504" t="s">
        <v>392</v>
      </c>
      <c r="L3" s="505"/>
      <c r="M3" s="506"/>
      <c r="O3" s="495" t="s">
        <v>390</v>
      </c>
      <c r="P3" s="496"/>
      <c r="Q3" s="497"/>
      <c r="S3" s="495" t="s">
        <v>279</v>
      </c>
      <c r="T3" s="496"/>
      <c r="U3" s="497"/>
    </row>
    <row r="4" spans="2:21" x14ac:dyDescent="0.35">
      <c r="C4" s="507"/>
      <c r="D4" s="508"/>
      <c r="E4" s="509"/>
      <c r="G4" s="507"/>
      <c r="H4" s="508"/>
      <c r="I4" s="509"/>
      <c r="K4" s="507"/>
      <c r="L4" s="508"/>
      <c r="M4" s="509"/>
      <c r="O4" s="498"/>
      <c r="P4" s="499"/>
      <c r="Q4" s="500"/>
      <c r="S4" s="498"/>
      <c r="T4" s="499"/>
      <c r="U4" s="500"/>
    </row>
    <row r="5" spans="2:21" ht="15" thickBot="1" x14ac:dyDescent="0.4">
      <c r="C5" s="510"/>
      <c r="D5" s="511"/>
      <c r="E5" s="512"/>
      <c r="G5" s="510"/>
      <c r="H5" s="511"/>
      <c r="I5" s="512"/>
      <c r="K5" s="510"/>
      <c r="L5" s="511"/>
      <c r="M5" s="512"/>
      <c r="O5" s="501"/>
      <c r="P5" s="502"/>
      <c r="Q5" s="503"/>
      <c r="S5" s="501"/>
      <c r="T5" s="502"/>
      <c r="U5" s="503"/>
    </row>
    <row r="6" spans="2:21" x14ac:dyDescent="0.35">
      <c r="B6" s="37" t="s">
        <v>123</v>
      </c>
      <c r="C6" s="53" t="s">
        <v>114</v>
      </c>
      <c r="D6" s="54" t="s">
        <v>115</v>
      </c>
      <c r="E6" s="53" t="s">
        <v>116</v>
      </c>
      <c r="G6" s="53" t="s">
        <v>114</v>
      </c>
      <c r="H6" s="54" t="s">
        <v>115</v>
      </c>
      <c r="I6" s="53" t="s">
        <v>116</v>
      </c>
      <c r="K6" s="53" t="s">
        <v>114</v>
      </c>
      <c r="L6" s="54" t="s">
        <v>115</v>
      </c>
      <c r="M6" s="53" t="s">
        <v>116</v>
      </c>
      <c r="O6" s="53" t="s">
        <v>114</v>
      </c>
      <c r="P6" s="54" t="s">
        <v>115</v>
      </c>
      <c r="Q6" s="53" t="s">
        <v>116</v>
      </c>
      <c r="S6" s="53" t="s">
        <v>114</v>
      </c>
      <c r="T6" s="54" t="s">
        <v>115</v>
      </c>
      <c r="U6" s="53" t="s">
        <v>116</v>
      </c>
    </row>
    <row r="7" spans="2:21" ht="15" thickBot="1" x14ac:dyDescent="0.4">
      <c r="B7" s="37" t="s">
        <v>59</v>
      </c>
      <c r="C7" s="53" t="s">
        <v>117</v>
      </c>
      <c r="D7" s="53" t="s">
        <v>118</v>
      </c>
      <c r="E7" s="53" t="s">
        <v>117</v>
      </c>
      <c r="G7" s="53" t="s">
        <v>117</v>
      </c>
      <c r="H7" s="53" t="s">
        <v>118</v>
      </c>
      <c r="I7" s="53" t="s">
        <v>117</v>
      </c>
      <c r="K7" s="53" t="s">
        <v>117</v>
      </c>
      <c r="L7" s="53" t="s">
        <v>118</v>
      </c>
      <c r="M7" s="53" t="s">
        <v>117</v>
      </c>
      <c r="O7" s="53" t="s">
        <v>117</v>
      </c>
      <c r="P7" s="53" t="s">
        <v>118</v>
      </c>
      <c r="Q7" s="53" t="s">
        <v>117</v>
      </c>
      <c r="S7" s="53" t="s">
        <v>117</v>
      </c>
      <c r="T7" s="53" t="s">
        <v>118</v>
      </c>
      <c r="U7" s="53" t="s">
        <v>117</v>
      </c>
    </row>
    <row r="8" spans="2:21" ht="15" thickBot="1" x14ac:dyDescent="0.4">
      <c r="B8" s="51" t="s">
        <v>110</v>
      </c>
      <c r="C8" s="55">
        <v>0</v>
      </c>
      <c r="D8" s="56">
        <v>0</v>
      </c>
      <c r="E8" s="56">
        <f>SUM(C8:D8)</f>
        <v>0</v>
      </c>
      <c r="G8" s="55">
        <v>0</v>
      </c>
      <c r="H8" s="56">
        <v>0</v>
      </c>
      <c r="I8" s="56">
        <f>SUM(G8:H8)</f>
        <v>0</v>
      </c>
      <c r="K8" s="55">
        <v>0</v>
      </c>
      <c r="L8" s="56">
        <v>0</v>
      </c>
      <c r="M8" s="56">
        <f>SUM(K8:L8)</f>
        <v>0</v>
      </c>
      <c r="O8" s="55">
        <v>0</v>
      </c>
      <c r="P8" s="56">
        <v>0</v>
      </c>
      <c r="Q8" s="56">
        <f>SUM(O8:P8)</f>
        <v>0</v>
      </c>
      <c r="S8" s="55">
        <v>0</v>
      </c>
      <c r="T8" s="56">
        <v>0</v>
      </c>
      <c r="U8" s="56">
        <f>SUM(S8:T8)</f>
        <v>0</v>
      </c>
    </row>
    <row r="9" spans="2:21" ht="15" thickBot="1" x14ac:dyDescent="0.4">
      <c r="B9" s="52" t="s">
        <v>111</v>
      </c>
      <c r="C9" s="57">
        <v>0.5</v>
      </c>
      <c r="D9" s="58">
        <v>1</v>
      </c>
      <c r="E9" s="56">
        <f>SUM(C9:D9)</f>
        <v>1.5</v>
      </c>
      <c r="G9" s="57">
        <v>0.5</v>
      </c>
      <c r="H9" s="58">
        <v>0</v>
      </c>
      <c r="I9" s="56">
        <f t="shared" ref="I9:I11" si="0">SUM(G9:H9)</f>
        <v>0.5</v>
      </c>
      <c r="K9" s="57">
        <v>0.5</v>
      </c>
      <c r="L9" s="58">
        <v>0</v>
      </c>
      <c r="M9" s="56">
        <f t="shared" ref="M9:M11" si="1">SUM(K9:L9)</f>
        <v>0.5</v>
      </c>
      <c r="O9" s="57">
        <v>0</v>
      </c>
      <c r="P9" s="58">
        <v>0</v>
      </c>
      <c r="Q9" s="56">
        <f t="shared" ref="Q9:Q11" si="2">SUM(O9:P9)</f>
        <v>0</v>
      </c>
      <c r="S9" s="57">
        <v>0</v>
      </c>
      <c r="T9" s="58">
        <v>0</v>
      </c>
      <c r="U9" s="56">
        <f t="shared" ref="U9:U11" si="3">SUM(S9:T9)</f>
        <v>0</v>
      </c>
    </row>
    <row r="10" spans="2:21" ht="15" thickBot="1" x14ac:dyDescent="0.4">
      <c r="B10" s="52" t="s">
        <v>112</v>
      </c>
      <c r="C10" s="57">
        <v>1</v>
      </c>
      <c r="D10" s="58">
        <v>1</v>
      </c>
      <c r="E10" s="56">
        <f t="shared" ref="E9:E11" si="4">SUM(C10:D10)</f>
        <v>2</v>
      </c>
      <c r="G10" s="57">
        <v>1</v>
      </c>
      <c r="H10" s="58">
        <v>0.3</v>
      </c>
      <c r="I10" s="56">
        <f t="shared" si="0"/>
        <v>1.3</v>
      </c>
      <c r="K10" s="57">
        <v>1</v>
      </c>
      <c r="L10" s="58">
        <v>0.25</v>
      </c>
      <c r="M10" s="56">
        <f>SUM(K10:L10)</f>
        <v>1.25</v>
      </c>
      <c r="O10" s="57">
        <v>0.5</v>
      </c>
      <c r="P10" s="58">
        <v>0</v>
      </c>
      <c r="Q10" s="56">
        <f t="shared" si="2"/>
        <v>0.5</v>
      </c>
      <c r="S10" s="57">
        <v>0.25</v>
      </c>
      <c r="T10" s="58">
        <v>0</v>
      </c>
      <c r="U10" s="56">
        <f t="shared" si="3"/>
        <v>0.25</v>
      </c>
    </row>
    <row r="11" spans="2:21" ht="15" thickBot="1" x14ac:dyDescent="0.4">
      <c r="B11" s="52" t="s">
        <v>113</v>
      </c>
      <c r="C11" s="57">
        <v>1</v>
      </c>
      <c r="D11" s="58">
        <v>2</v>
      </c>
      <c r="E11" s="56">
        <f>SUM(C11:D11)</f>
        <v>3</v>
      </c>
      <c r="G11" s="57">
        <v>1</v>
      </c>
      <c r="H11" s="58">
        <v>0.5</v>
      </c>
      <c r="I11" s="56">
        <f t="shared" si="0"/>
        <v>1.5</v>
      </c>
      <c r="K11" s="57">
        <v>1</v>
      </c>
      <c r="L11" s="58">
        <v>0.5</v>
      </c>
      <c r="M11" s="56">
        <f t="shared" si="1"/>
        <v>1.5</v>
      </c>
      <c r="O11" s="57">
        <v>0.5</v>
      </c>
      <c r="P11" s="58">
        <v>0</v>
      </c>
      <c r="Q11" s="56">
        <f t="shared" si="2"/>
        <v>0.5</v>
      </c>
      <c r="S11" s="57">
        <v>0.75</v>
      </c>
      <c r="T11" s="58">
        <v>0</v>
      </c>
      <c r="U11" s="56">
        <f t="shared" si="3"/>
        <v>0.75</v>
      </c>
    </row>
    <row r="16" spans="2:21" ht="15" customHeight="1" x14ac:dyDescent="0.35">
      <c r="H16" s="565"/>
      <c r="I16" s="566"/>
      <c r="J16" s="566"/>
      <c r="K16" s="566"/>
      <c r="L16" s="566"/>
      <c r="M16" s="566"/>
      <c r="N16" s="566"/>
      <c r="O16" s="566"/>
    </row>
    <row r="17" spans="1:15" x14ac:dyDescent="0.35">
      <c r="B17" s="513" t="s">
        <v>408</v>
      </c>
      <c r="C17" s="514"/>
      <c r="D17" s="514"/>
      <c r="E17" s="514"/>
      <c r="F17" s="515"/>
    </row>
    <row r="18" spans="1:15" x14ac:dyDescent="0.35">
      <c r="B18" s="302" t="s">
        <v>230</v>
      </c>
      <c r="C18" s="493" t="s">
        <v>409</v>
      </c>
      <c r="D18" s="494"/>
      <c r="E18" s="494"/>
      <c r="F18" s="494"/>
    </row>
    <row r="19" spans="1:15" ht="15" thickBot="1" x14ac:dyDescent="0.4">
      <c r="B19" s="303" t="s">
        <v>231</v>
      </c>
      <c r="C19" s="305" t="s">
        <v>110</v>
      </c>
      <c r="D19" s="306" t="s">
        <v>111</v>
      </c>
      <c r="E19" s="306" t="s">
        <v>112</v>
      </c>
      <c r="F19" s="307" t="s">
        <v>113</v>
      </c>
    </row>
    <row r="20" spans="1:15" x14ac:dyDescent="0.35">
      <c r="B20" s="304">
        <v>1</v>
      </c>
      <c r="C20" s="218">
        <f>E8</f>
        <v>0</v>
      </c>
      <c r="D20" s="218">
        <f>E9</f>
        <v>1.5</v>
      </c>
      <c r="E20" s="218">
        <f>E10</f>
        <v>2</v>
      </c>
      <c r="F20" s="218">
        <f>E11</f>
        <v>3</v>
      </c>
    </row>
    <row r="21" spans="1:15" x14ac:dyDescent="0.35">
      <c r="B21" s="304">
        <v>2</v>
      </c>
      <c r="C21" s="218">
        <f>I8</f>
        <v>0</v>
      </c>
      <c r="D21" s="218">
        <f>I9</f>
        <v>0.5</v>
      </c>
      <c r="E21" s="218">
        <f>I10</f>
        <v>1.3</v>
      </c>
      <c r="F21" s="218">
        <f>I11</f>
        <v>1.5</v>
      </c>
    </row>
    <row r="22" spans="1:15" x14ac:dyDescent="0.35">
      <c r="B22" s="304">
        <v>3</v>
      </c>
      <c r="C22" s="218">
        <f>M8</f>
        <v>0</v>
      </c>
      <c r="D22" s="218">
        <f>M9</f>
        <v>0.5</v>
      </c>
      <c r="E22" s="218">
        <f>M10</f>
        <v>1.25</v>
      </c>
      <c r="F22" s="218">
        <f>M11</f>
        <v>1.5</v>
      </c>
    </row>
    <row r="23" spans="1:15" x14ac:dyDescent="0.35">
      <c r="B23" s="304">
        <v>4</v>
      </c>
      <c r="C23" s="218">
        <f>Q8</f>
        <v>0</v>
      </c>
      <c r="D23" s="218">
        <f>Q9</f>
        <v>0</v>
      </c>
      <c r="E23" s="218">
        <f>Q10</f>
        <v>0.5</v>
      </c>
      <c r="F23" s="218">
        <f>Q11</f>
        <v>0.5</v>
      </c>
    </row>
    <row r="24" spans="1:15" x14ac:dyDescent="0.35">
      <c r="A24" s="308" t="s">
        <v>229</v>
      </c>
      <c r="B24" s="304">
        <v>5</v>
      </c>
      <c r="C24" s="219">
        <f>U8</f>
        <v>0</v>
      </c>
      <c r="D24" s="219">
        <f>U9</f>
        <v>0</v>
      </c>
      <c r="E24" s="219">
        <f>U10</f>
        <v>0.25</v>
      </c>
      <c r="F24" s="219">
        <f>U11</f>
        <v>0.75</v>
      </c>
    </row>
    <row r="25" spans="1:15" ht="15" customHeight="1" x14ac:dyDescent="0.35"/>
    <row r="26" spans="1:15" ht="15" customHeight="1" x14ac:dyDescent="0.35"/>
    <row r="27" spans="1:15" x14ac:dyDescent="0.35">
      <c r="B27" s="481" t="s">
        <v>272</v>
      </c>
      <c r="C27" s="482"/>
      <c r="D27" s="483"/>
    </row>
    <row r="28" spans="1:15" x14ac:dyDescent="0.35">
      <c r="B28" s="484"/>
      <c r="C28" s="485"/>
      <c r="D28" s="486"/>
      <c r="H28" s="566"/>
      <c r="I28" s="566"/>
      <c r="J28" s="566"/>
      <c r="K28" s="566"/>
      <c r="L28" s="566"/>
      <c r="M28" s="566"/>
      <c r="N28" s="566"/>
      <c r="O28" s="566"/>
    </row>
    <row r="29" spans="1:15" x14ac:dyDescent="0.35">
      <c r="B29" s="484"/>
      <c r="C29" s="485"/>
      <c r="D29" s="486"/>
    </row>
    <row r="30" spans="1:15" x14ac:dyDescent="0.35">
      <c r="B30" s="484"/>
      <c r="C30" s="485"/>
      <c r="D30" s="486"/>
    </row>
    <row r="31" spans="1:15" x14ac:dyDescent="0.35">
      <c r="B31" s="484"/>
      <c r="C31" s="485"/>
      <c r="D31" s="486"/>
    </row>
    <row r="32" spans="1:15" x14ac:dyDescent="0.35">
      <c r="B32" s="484"/>
      <c r="C32" s="485"/>
      <c r="D32" s="486"/>
    </row>
    <row r="33" spans="2:4" x14ac:dyDescent="0.35">
      <c r="B33" s="484"/>
      <c r="C33" s="485"/>
      <c r="D33" s="486"/>
    </row>
    <row r="34" spans="2:4" x14ac:dyDescent="0.35">
      <c r="B34" s="487"/>
      <c r="C34" s="488"/>
      <c r="D34" s="489"/>
    </row>
    <row r="35" spans="2:4" x14ac:dyDescent="0.35">
      <c r="B35" s="487"/>
      <c r="C35" s="488"/>
      <c r="D35" s="489"/>
    </row>
    <row r="36" spans="2:4" x14ac:dyDescent="0.35">
      <c r="B36" s="487"/>
      <c r="C36" s="488"/>
      <c r="D36" s="489"/>
    </row>
    <row r="37" spans="2:4" x14ac:dyDescent="0.35">
      <c r="B37" s="487"/>
      <c r="C37" s="488"/>
      <c r="D37" s="489"/>
    </row>
    <row r="38" spans="2:4" x14ac:dyDescent="0.35">
      <c r="B38" s="487"/>
      <c r="C38" s="488"/>
      <c r="D38" s="489"/>
    </row>
    <row r="39" spans="2:4" x14ac:dyDescent="0.35">
      <c r="B39" s="490"/>
      <c r="C39" s="491"/>
      <c r="D39" s="492"/>
    </row>
  </sheetData>
  <protectedRanges>
    <protectedRange algorithmName="SHA-512" hashValue="itUiEmUL3uSQ911/3fyUXnvsJd1MG231qz9rJmiUgrsKe+5WHO9Uu0v2OAzhP/bf5oBtRVwOLPOYC82Pg7iK1A==" saltValue="7wL9R0L2T2jdb5JaYIgiSA==" spinCount="100000" sqref="C8:D11 G8:H11 K8:L11 O8:P11 S8:T11" name="RainFactors"/>
  </protectedRanges>
  <mergeCells count="8">
    <mergeCell ref="B27:D39"/>
    <mergeCell ref="C18:F18"/>
    <mergeCell ref="S3:U5"/>
    <mergeCell ref="C3:E5"/>
    <mergeCell ref="G3:I5"/>
    <mergeCell ref="K3:M5"/>
    <mergeCell ref="O3:Q5"/>
    <mergeCell ref="B17:F17"/>
  </mergeCells>
  <conditionalFormatting sqref="C8:C11">
    <cfRule type="colorScale" priority="54">
      <colorScale>
        <cfvo type="min"/>
        <cfvo type="percentile" val="50"/>
        <cfvo type="max"/>
        <color rgb="FF63BE7B"/>
        <color rgb="FFFCFCFF"/>
        <color rgb="FFF8696B"/>
      </colorScale>
    </cfRule>
  </conditionalFormatting>
  <conditionalFormatting sqref="C8:E11 G8:I11 K8:M11 O8:Q11">
    <cfRule type="colorScale" priority="41">
      <colorScale>
        <cfvo type="min"/>
        <cfvo type="percentile" val="50"/>
        <cfvo type="max"/>
        <color rgb="FF63BE7B"/>
        <color rgb="FFFCFCFF"/>
        <color rgb="FFF8696B"/>
      </colorScale>
    </cfRule>
  </conditionalFormatting>
  <conditionalFormatting sqref="C8:E11">
    <cfRule type="colorScale" priority="57">
      <colorScale>
        <cfvo type="min"/>
        <cfvo type="percentile" val="50"/>
        <cfvo type="max"/>
        <color rgb="FF63BE7B"/>
        <color rgb="FFFCFCFF"/>
        <color rgb="FFF8696B"/>
      </colorScale>
    </cfRule>
  </conditionalFormatting>
  <conditionalFormatting sqref="C20:F24">
    <cfRule type="colorScale" priority="11">
      <colorScale>
        <cfvo type="min"/>
        <cfvo type="percentile" val="50"/>
        <cfvo type="max"/>
        <color rgb="FF63BE7B"/>
        <color rgb="FFFCFCFF"/>
        <color rgb="FFF8696B"/>
      </colorScale>
    </cfRule>
  </conditionalFormatting>
  <conditionalFormatting sqref="C8:U11">
    <cfRule type="colorScale" priority="1">
      <colorScale>
        <cfvo type="min"/>
        <cfvo type="percentile" val="50"/>
        <cfvo type="max"/>
        <color rgb="FF63BE7B"/>
        <color rgb="FFFCFCFF"/>
        <color rgb="FFF8696B"/>
      </colorScale>
    </cfRule>
  </conditionalFormatting>
  <conditionalFormatting sqref="D8:D11">
    <cfRule type="colorScale" priority="55">
      <colorScale>
        <cfvo type="min"/>
        <cfvo type="percentile" val="50"/>
        <cfvo type="max"/>
        <color rgb="FF63BE7B"/>
        <color rgb="FFFCFCFF"/>
        <color rgb="FFF8696B"/>
      </colorScale>
    </cfRule>
  </conditionalFormatting>
  <conditionalFormatting sqref="E8:E11">
    <cfRule type="colorScale" priority="56">
      <colorScale>
        <cfvo type="min"/>
        <cfvo type="percentile" val="50"/>
        <cfvo type="max"/>
        <color rgb="FF63BE7B"/>
        <color rgb="FFFCFCFF"/>
        <color rgb="FFF8696B"/>
      </colorScale>
    </cfRule>
  </conditionalFormatting>
  <conditionalFormatting sqref="G8:G11">
    <cfRule type="colorScale" priority="50">
      <colorScale>
        <cfvo type="min"/>
        <cfvo type="percentile" val="50"/>
        <cfvo type="max"/>
        <color rgb="FF63BE7B"/>
        <color rgb="FFFCFCFF"/>
        <color rgb="FFF8696B"/>
      </colorScale>
    </cfRule>
  </conditionalFormatting>
  <conditionalFormatting sqref="G8:I11">
    <cfRule type="colorScale" priority="53">
      <colorScale>
        <cfvo type="min"/>
        <cfvo type="percentile" val="50"/>
        <cfvo type="max"/>
        <color rgb="FF63BE7B"/>
        <color rgb="FFFCFCFF"/>
        <color rgb="FFF8696B"/>
      </colorScale>
    </cfRule>
  </conditionalFormatting>
  <conditionalFormatting sqref="H8:H11">
    <cfRule type="colorScale" priority="51">
      <colorScale>
        <cfvo type="min"/>
        <cfvo type="percentile" val="50"/>
        <cfvo type="max"/>
        <color rgb="FF63BE7B"/>
        <color rgb="FFFCFCFF"/>
        <color rgb="FFF8696B"/>
      </colorScale>
    </cfRule>
  </conditionalFormatting>
  <conditionalFormatting sqref="I8:I11">
    <cfRule type="colorScale" priority="52">
      <colorScale>
        <cfvo type="min"/>
        <cfvo type="percentile" val="50"/>
        <cfvo type="max"/>
        <color rgb="FF63BE7B"/>
        <color rgb="FFFCFCFF"/>
        <color rgb="FFF8696B"/>
      </colorScale>
    </cfRule>
  </conditionalFormatting>
  <conditionalFormatting sqref="K8:K11">
    <cfRule type="colorScale" priority="46">
      <colorScale>
        <cfvo type="min"/>
        <cfvo type="percentile" val="50"/>
        <cfvo type="max"/>
        <color rgb="FF63BE7B"/>
        <color rgb="FFFCFCFF"/>
        <color rgb="FFF8696B"/>
      </colorScale>
    </cfRule>
  </conditionalFormatting>
  <conditionalFormatting sqref="K8:M11">
    <cfRule type="colorScale" priority="49">
      <colorScale>
        <cfvo type="min"/>
        <cfvo type="percentile" val="50"/>
        <cfvo type="max"/>
        <color rgb="FF63BE7B"/>
        <color rgb="FFFCFCFF"/>
        <color rgb="FFF8696B"/>
      </colorScale>
    </cfRule>
  </conditionalFormatting>
  <conditionalFormatting sqref="L8:L11">
    <cfRule type="colorScale" priority="47">
      <colorScale>
        <cfvo type="min"/>
        <cfvo type="percentile" val="50"/>
        <cfvo type="max"/>
        <color rgb="FF63BE7B"/>
        <color rgb="FFFCFCFF"/>
        <color rgb="FFF8696B"/>
      </colorScale>
    </cfRule>
  </conditionalFormatting>
  <conditionalFormatting sqref="M8:M11">
    <cfRule type="colorScale" priority="48">
      <colorScale>
        <cfvo type="min"/>
        <cfvo type="percentile" val="50"/>
        <cfvo type="max"/>
        <color rgb="FF63BE7B"/>
        <color rgb="FFFCFCFF"/>
        <color rgb="FFF8696B"/>
      </colorScale>
    </cfRule>
  </conditionalFormatting>
  <conditionalFormatting sqref="O8:O11">
    <cfRule type="colorScale" priority="42">
      <colorScale>
        <cfvo type="min"/>
        <cfvo type="percentile" val="50"/>
        <cfvo type="max"/>
        <color rgb="FF63BE7B"/>
        <color rgb="FFFCFCFF"/>
        <color rgb="FFF8696B"/>
      </colorScale>
    </cfRule>
  </conditionalFormatting>
  <conditionalFormatting sqref="O8:Q11">
    <cfRule type="colorScale" priority="45">
      <colorScale>
        <cfvo type="min"/>
        <cfvo type="percentile" val="50"/>
        <cfvo type="max"/>
        <color rgb="FF63BE7B"/>
        <color rgb="FFFCFCFF"/>
        <color rgb="FFF8696B"/>
      </colorScale>
    </cfRule>
  </conditionalFormatting>
  <conditionalFormatting sqref="P8:P11">
    <cfRule type="colorScale" priority="43">
      <colorScale>
        <cfvo type="min"/>
        <cfvo type="percentile" val="50"/>
        <cfvo type="max"/>
        <color rgb="FF63BE7B"/>
        <color rgb="FFFCFCFF"/>
        <color rgb="FFF8696B"/>
      </colorScale>
    </cfRule>
  </conditionalFormatting>
  <conditionalFormatting sqref="Q8:Q11">
    <cfRule type="colorScale" priority="44">
      <colorScale>
        <cfvo type="min"/>
        <cfvo type="percentile" val="50"/>
        <cfvo type="max"/>
        <color rgb="FF63BE7B"/>
        <color rgb="FFFCFCFF"/>
        <color rgb="FFF8696B"/>
      </colorScale>
    </cfRule>
  </conditionalFormatting>
  <conditionalFormatting sqref="S8:S11">
    <cfRule type="colorScale" priority="3">
      <colorScale>
        <cfvo type="min"/>
        <cfvo type="percentile" val="50"/>
        <cfvo type="max"/>
        <color rgb="FF63BE7B"/>
        <color rgb="FFFCFCFF"/>
        <color rgb="FFF8696B"/>
      </colorScale>
    </cfRule>
  </conditionalFormatting>
  <conditionalFormatting sqref="S8:U11">
    <cfRule type="colorScale" priority="2">
      <colorScale>
        <cfvo type="min"/>
        <cfvo type="percentile" val="50"/>
        <cfvo type="max"/>
        <color rgb="FF63BE7B"/>
        <color rgb="FFFCFCFF"/>
        <color rgb="FFF8696B"/>
      </colorScale>
    </cfRule>
    <cfRule type="colorScale" priority="6">
      <colorScale>
        <cfvo type="min"/>
        <cfvo type="percentile" val="50"/>
        <cfvo type="max"/>
        <color rgb="FF63BE7B"/>
        <color rgb="FFFCFCFF"/>
        <color rgb="FFF8696B"/>
      </colorScale>
    </cfRule>
  </conditionalFormatting>
  <conditionalFormatting sqref="T8:T11">
    <cfRule type="colorScale" priority="4">
      <colorScale>
        <cfvo type="min"/>
        <cfvo type="percentile" val="50"/>
        <cfvo type="max"/>
        <color rgb="FF63BE7B"/>
        <color rgb="FFFCFCFF"/>
        <color rgb="FFF8696B"/>
      </colorScale>
    </cfRule>
  </conditionalFormatting>
  <conditionalFormatting sqref="U8:U11">
    <cfRule type="colorScale" priority="5">
      <colorScale>
        <cfvo type="min"/>
        <cfvo type="percentile" val="50"/>
        <cfvo type="max"/>
        <color rgb="FF63BE7B"/>
        <color rgb="FFFCFCFF"/>
        <color rgb="FFF8696B"/>
      </colorScale>
    </cfRule>
  </conditionalFormatting>
  <pageMargins left="0.7" right="0.7" top="0.75" bottom="0.75" header="0.3" footer="0.3"/>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1:AG39"/>
  <sheetViews>
    <sheetView showZeros="0" topLeftCell="A24" workbookViewId="0">
      <selection activeCell="AF15" sqref="AF15:AF16"/>
    </sheetView>
  </sheetViews>
  <sheetFormatPr defaultRowHeight="14.5" x14ac:dyDescent="0.35"/>
  <cols>
    <col min="1" max="1" width="3" customWidth="1"/>
    <col min="7" max="7" width="9.90625" customWidth="1"/>
    <col min="8" max="8" width="6.453125" bestFit="1" customWidth="1"/>
    <col min="9" max="21" width="7.6328125" customWidth="1"/>
    <col min="22" max="22" width="7" customWidth="1"/>
    <col min="30" max="30" width="1.54296875" customWidth="1"/>
    <col min="31" max="31" width="12.08984375" bestFit="1" customWidth="1"/>
    <col min="32" max="32" width="12.6328125" customWidth="1"/>
    <col min="33" max="33" width="0.36328125" customWidth="1"/>
  </cols>
  <sheetData>
    <row r="1" spans="2:33" ht="15.75" customHeight="1" thickBot="1" x14ac:dyDescent="0.4">
      <c r="W1" s="37" t="s">
        <v>190</v>
      </c>
    </row>
    <row r="2" spans="2:33" ht="16" thickBot="1" x14ac:dyDescent="0.4">
      <c r="B2" s="536" t="s">
        <v>188</v>
      </c>
      <c r="C2" s="537"/>
      <c r="D2" s="537"/>
      <c r="E2" s="537"/>
      <c r="F2" s="537"/>
      <c r="G2" s="386"/>
      <c r="H2" s="97"/>
      <c r="I2" s="524" t="s">
        <v>185</v>
      </c>
      <c r="J2" s="525"/>
      <c r="K2" s="525"/>
      <c r="L2" s="525"/>
      <c r="M2" s="525"/>
      <c r="N2" s="525"/>
      <c r="O2" s="525"/>
      <c r="P2" s="525"/>
      <c r="Q2" s="525"/>
      <c r="R2" s="525"/>
      <c r="S2" s="525"/>
      <c r="T2" s="526"/>
      <c r="U2" s="109"/>
      <c r="W2" s="522" t="s">
        <v>250</v>
      </c>
      <c r="X2" s="522"/>
      <c r="Y2" s="522"/>
      <c r="Z2" s="522"/>
      <c r="AA2" s="522"/>
      <c r="AB2" s="522"/>
      <c r="AC2" s="522"/>
      <c r="AE2" s="547" t="s">
        <v>199</v>
      </c>
      <c r="AF2" s="548"/>
      <c r="AG2" s="549"/>
    </row>
    <row r="3" spans="2:33" ht="16" thickBot="1" x14ac:dyDescent="0.4">
      <c r="B3" s="537"/>
      <c r="C3" s="537"/>
      <c r="D3" s="537"/>
      <c r="E3" s="537"/>
      <c r="F3" s="537"/>
      <c r="G3" s="386"/>
      <c r="H3" s="96" t="s">
        <v>145</v>
      </c>
      <c r="I3" s="50">
        <v>42736</v>
      </c>
      <c r="J3" s="50">
        <v>42767</v>
      </c>
      <c r="K3" s="50">
        <v>42798</v>
      </c>
      <c r="L3" s="50">
        <v>42829</v>
      </c>
      <c r="M3" s="50">
        <v>42860</v>
      </c>
      <c r="N3" s="50">
        <v>42891</v>
      </c>
      <c r="O3" s="50">
        <v>42922</v>
      </c>
      <c r="P3" s="50">
        <v>42953</v>
      </c>
      <c r="Q3" s="50">
        <v>42984</v>
      </c>
      <c r="R3" s="50">
        <v>43015</v>
      </c>
      <c r="S3" s="50">
        <v>43046</v>
      </c>
      <c r="T3" s="50">
        <v>43077</v>
      </c>
      <c r="U3" s="2"/>
      <c r="W3" s="522"/>
      <c r="X3" s="522"/>
      <c r="Y3" s="522"/>
      <c r="Z3" s="522"/>
      <c r="AA3" s="522"/>
      <c r="AB3" s="522"/>
      <c r="AC3" s="522"/>
      <c r="AE3" s="200" t="s">
        <v>200</v>
      </c>
      <c r="AF3" s="200" t="s">
        <v>201</v>
      </c>
      <c r="AG3" s="199"/>
    </row>
    <row r="4" spans="2:33" x14ac:dyDescent="0.35">
      <c r="B4" s="378" t="s">
        <v>137</v>
      </c>
      <c r="C4" s="379"/>
      <c r="D4" s="379"/>
      <c r="E4" s="379"/>
      <c r="F4" s="379"/>
      <c r="G4" s="98"/>
      <c r="H4" s="99"/>
      <c r="I4" s="15">
        <v>31</v>
      </c>
      <c r="J4" s="65">
        <v>28</v>
      </c>
      <c r="K4" s="15">
        <v>31</v>
      </c>
      <c r="L4" s="15">
        <v>30</v>
      </c>
      <c r="M4" s="15">
        <v>31</v>
      </c>
      <c r="N4" s="15">
        <v>30</v>
      </c>
      <c r="O4" s="15">
        <v>31</v>
      </c>
      <c r="P4" s="15">
        <v>31</v>
      </c>
      <c r="Q4" s="15">
        <v>30</v>
      </c>
      <c r="R4" s="15">
        <v>31</v>
      </c>
      <c r="S4" s="15">
        <v>30</v>
      </c>
      <c r="T4" s="16">
        <v>31</v>
      </c>
      <c r="U4" s="110">
        <f>SUM(I4:T4)</f>
        <v>365</v>
      </c>
      <c r="W4" s="522"/>
      <c r="X4" s="522"/>
      <c r="Y4" s="522"/>
      <c r="Z4" s="522"/>
      <c r="AA4" s="522"/>
      <c r="AB4" s="522"/>
      <c r="AC4" s="522"/>
      <c r="AE4" s="208" t="s">
        <v>202</v>
      </c>
      <c r="AF4" s="209"/>
      <c r="AG4" s="203"/>
    </row>
    <row r="5" spans="2:33" x14ac:dyDescent="0.35">
      <c r="B5" s="527" t="s">
        <v>186</v>
      </c>
      <c r="C5" s="528"/>
      <c r="D5" s="528"/>
      <c r="E5" s="528"/>
      <c r="F5" s="529"/>
      <c r="G5" s="100" t="s">
        <v>126</v>
      </c>
      <c r="H5" s="101"/>
      <c r="I5" s="17">
        <v>2</v>
      </c>
      <c r="J5" s="17"/>
      <c r="K5" s="17"/>
      <c r="L5" s="17">
        <v>3</v>
      </c>
      <c r="M5" s="17"/>
      <c r="N5" s="17"/>
      <c r="O5" s="17"/>
      <c r="P5" s="17"/>
      <c r="Q5" s="17"/>
      <c r="R5" s="17"/>
      <c r="S5" s="17"/>
      <c r="T5" s="18">
        <v>2</v>
      </c>
      <c r="U5" s="110">
        <f t="shared" ref="U5:U27" si="0">SUM(I5:T5)</f>
        <v>7</v>
      </c>
      <c r="W5" s="522" t="s">
        <v>218</v>
      </c>
      <c r="X5" s="522"/>
      <c r="Y5" s="522"/>
      <c r="Z5" s="522"/>
      <c r="AA5" s="522"/>
      <c r="AB5" s="522"/>
      <c r="AC5" s="522"/>
      <c r="AE5" s="201" t="s">
        <v>203</v>
      </c>
      <c r="AF5" s="202">
        <v>9</v>
      </c>
      <c r="AG5" s="201"/>
    </row>
    <row r="6" spans="2:33" x14ac:dyDescent="0.35">
      <c r="B6" s="530"/>
      <c r="C6" s="531"/>
      <c r="D6" s="531"/>
      <c r="E6" s="531"/>
      <c r="F6" s="532"/>
      <c r="G6" s="100" t="s">
        <v>133</v>
      </c>
      <c r="H6" s="101"/>
      <c r="I6" s="17"/>
      <c r="J6" s="17">
        <v>1</v>
      </c>
      <c r="K6" s="17"/>
      <c r="L6" s="17"/>
      <c r="M6" s="17"/>
      <c r="N6" s="17">
        <v>1</v>
      </c>
      <c r="O6" s="17"/>
      <c r="P6" s="17"/>
      <c r="Q6" s="17">
        <v>1</v>
      </c>
      <c r="R6" s="17">
        <v>1</v>
      </c>
      <c r="S6" s="17"/>
      <c r="T6" s="18"/>
      <c r="U6" s="110">
        <f t="shared" si="0"/>
        <v>4</v>
      </c>
      <c r="W6" s="522"/>
      <c r="X6" s="522"/>
      <c r="Y6" s="522"/>
      <c r="Z6" s="522"/>
      <c r="AA6" s="522"/>
      <c r="AB6" s="522"/>
      <c r="AC6" s="522"/>
      <c r="AE6" s="201" t="s">
        <v>204</v>
      </c>
      <c r="AF6" s="202">
        <v>9</v>
      </c>
      <c r="AG6" s="201"/>
    </row>
    <row r="7" spans="2:33" x14ac:dyDescent="0.35">
      <c r="B7" s="530"/>
      <c r="C7" s="531"/>
      <c r="D7" s="531"/>
      <c r="E7" s="531"/>
      <c r="F7" s="532"/>
      <c r="G7" s="100" t="s">
        <v>127</v>
      </c>
      <c r="H7" s="101"/>
      <c r="I7" s="17"/>
      <c r="J7" s="17"/>
      <c r="K7" s="17"/>
      <c r="L7" s="17"/>
      <c r="M7" s="17"/>
      <c r="N7" s="17">
        <v>1</v>
      </c>
      <c r="O7" s="17"/>
      <c r="P7" s="17">
        <v>1</v>
      </c>
      <c r="Q7" s="17"/>
      <c r="R7" s="17">
        <v>1</v>
      </c>
      <c r="S7" s="17"/>
      <c r="T7" s="18"/>
      <c r="U7" s="110">
        <f t="shared" si="0"/>
        <v>3</v>
      </c>
      <c r="W7" s="522"/>
      <c r="X7" s="522"/>
      <c r="Y7" s="522"/>
      <c r="Z7" s="522"/>
      <c r="AA7" s="522"/>
      <c r="AB7" s="522"/>
      <c r="AC7" s="522"/>
      <c r="AE7" s="201" t="s">
        <v>205</v>
      </c>
      <c r="AF7" s="202">
        <v>9</v>
      </c>
      <c r="AG7" s="201"/>
    </row>
    <row r="8" spans="2:33" x14ac:dyDescent="0.35">
      <c r="B8" s="530"/>
      <c r="C8" s="531"/>
      <c r="D8" s="531"/>
      <c r="E8" s="531"/>
      <c r="F8" s="532"/>
      <c r="G8" s="100" t="s">
        <v>132</v>
      </c>
      <c r="H8" s="101"/>
      <c r="I8" s="17"/>
      <c r="J8" s="17"/>
      <c r="K8" s="17"/>
      <c r="L8" s="17"/>
      <c r="M8" s="17">
        <v>1</v>
      </c>
      <c r="N8" s="17">
        <v>1</v>
      </c>
      <c r="O8" s="17"/>
      <c r="P8" s="17">
        <v>1</v>
      </c>
      <c r="Q8" s="17"/>
      <c r="R8" s="17"/>
      <c r="S8" s="17"/>
      <c r="T8" s="18"/>
      <c r="U8" s="110">
        <f t="shared" si="0"/>
        <v>3</v>
      </c>
      <c r="W8" s="523" t="s">
        <v>191</v>
      </c>
      <c r="X8" s="523"/>
      <c r="Y8" s="523"/>
      <c r="Z8" s="523"/>
      <c r="AA8" s="523"/>
      <c r="AB8" s="523"/>
      <c r="AC8" s="523"/>
      <c r="AE8" s="201" t="s">
        <v>206</v>
      </c>
      <c r="AF8" s="202">
        <v>9</v>
      </c>
      <c r="AG8" s="201"/>
    </row>
    <row r="9" spans="2:33" x14ac:dyDescent="0.35">
      <c r="B9" s="530"/>
      <c r="C9" s="531"/>
      <c r="D9" s="531"/>
      <c r="E9" s="531"/>
      <c r="F9" s="532"/>
      <c r="G9" s="100" t="s">
        <v>128</v>
      </c>
      <c r="H9" s="101"/>
      <c r="I9" s="17"/>
      <c r="J9" s="17"/>
      <c r="K9" s="17"/>
      <c r="L9" s="17"/>
      <c r="M9" s="17">
        <v>1</v>
      </c>
      <c r="N9" s="17"/>
      <c r="O9" s="17"/>
      <c r="P9" s="17">
        <v>1</v>
      </c>
      <c r="Q9" s="17"/>
      <c r="R9" s="17">
        <v>1</v>
      </c>
      <c r="S9" s="17"/>
      <c r="T9" s="18"/>
      <c r="U9" s="110">
        <f t="shared" si="0"/>
        <v>3</v>
      </c>
      <c r="W9" s="523"/>
      <c r="X9" s="523"/>
      <c r="Y9" s="523"/>
      <c r="Z9" s="523"/>
      <c r="AA9" s="523"/>
      <c r="AB9" s="523"/>
      <c r="AC9" s="523"/>
      <c r="AE9" s="201" t="s">
        <v>207</v>
      </c>
      <c r="AF9" s="202">
        <v>9</v>
      </c>
      <c r="AG9" s="201"/>
    </row>
    <row r="10" spans="2:33" x14ac:dyDescent="0.35">
      <c r="B10" s="530"/>
      <c r="C10" s="531"/>
      <c r="D10" s="531"/>
      <c r="E10" s="531"/>
      <c r="F10" s="532"/>
      <c r="G10" s="100" t="s">
        <v>130</v>
      </c>
      <c r="H10" s="101"/>
      <c r="I10" s="17"/>
      <c r="J10" s="17">
        <v>1</v>
      </c>
      <c r="K10" s="17"/>
      <c r="L10" s="17"/>
      <c r="M10" s="17"/>
      <c r="N10" s="17">
        <v>1</v>
      </c>
      <c r="O10" s="17"/>
      <c r="P10" s="17"/>
      <c r="Q10" s="17"/>
      <c r="R10" s="17">
        <v>1</v>
      </c>
      <c r="S10" s="17"/>
      <c r="T10" s="18"/>
      <c r="U10" s="110">
        <f t="shared" si="0"/>
        <v>3</v>
      </c>
      <c r="AE10" s="201" t="s">
        <v>208</v>
      </c>
      <c r="AF10" s="202">
        <v>9</v>
      </c>
      <c r="AG10" s="201"/>
    </row>
    <row r="11" spans="2:33" ht="15" thickBot="1" x14ac:dyDescent="0.4">
      <c r="B11" s="530"/>
      <c r="C11" s="531"/>
      <c r="D11" s="531"/>
      <c r="E11" s="531"/>
      <c r="F11" s="532"/>
      <c r="G11" s="100" t="s">
        <v>134</v>
      </c>
      <c r="H11" s="101"/>
      <c r="I11" s="17"/>
      <c r="J11" s="17"/>
      <c r="K11" s="17">
        <v>1</v>
      </c>
      <c r="L11" s="17"/>
      <c r="M11" s="17"/>
      <c r="N11" s="17">
        <v>1</v>
      </c>
      <c r="O11" s="17"/>
      <c r="P11" s="17"/>
      <c r="Q11" s="17"/>
      <c r="R11" s="17">
        <v>1</v>
      </c>
      <c r="S11" s="17"/>
      <c r="T11" s="18"/>
      <c r="U11" s="110">
        <f t="shared" si="0"/>
        <v>3</v>
      </c>
      <c r="AF11" s="23"/>
    </row>
    <row r="12" spans="2:33" ht="15" thickBot="1" x14ac:dyDescent="0.4">
      <c r="B12" s="530"/>
      <c r="C12" s="531"/>
      <c r="D12" s="531"/>
      <c r="E12" s="531"/>
      <c r="F12" s="532"/>
      <c r="G12" s="100" t="s">
        <v>129</v>
      </c>
      <c r="H12" s="101"/>
      <c r="I12" s="17"/>
      <c r="J12" s="17">
        <v>1</v>
      </c>
      <c r="K12" s="17"/>
      <c r="L12" s="17"/>
      <c r="M12" s="17"/>
      <c r="N12" s="17">
        <v>1</v>
      </c>
      <c r="O12" s="17"/>
      <c r="P12" s="17"/>
      <c r="Q12" s="17">
        <v>1</v>
      </c>
      <c r="R12" s="17"/>
      <c r="S12" s="17">
        <v>1</v>
      </c>
      <c r="T12" s="18"/>
      <c r="U12" s="110">
        <f t="shared" si="0"/>
        <v>4</v>
      </c>
      <c r="AE12" s="204" t="s">
        <v>209</v>
      </c>
      <c r="AF12" s="197">
        <f>SUM(AF4:AF11)</f>
        <v>54</v>
      </c>
    </row>
    <row r="13" spans="2:33" ht="15" thickBot="1" x14ac:dyDescent="0.4">
      <c r="B13" s="533"/>
      <c r="C13" s="534"/>
      <c r="D13" s="534"/>
      <c r="E13" s="534"/>
      <c r="F13" s="535"/>
      <c r="G13" s="100" t="s">
        <v>131</v>
      </c>
      <c r="H13" s="101"/>
      <c r="I13" s="17"/>
      <c r="J13" s="17">
        <v>1</v>
      </c>
      <c r="K13" s="17"/>
      <c r="L13" s="17"/>
      <c r="M13" s="17"/>
      <c r="N13" s="17">
        <v>1</v>
      </c>
      <c r="O13" s="17"/>
      <c r="P13" s="17"/>
      <c r="Q13" s="17"/>
      <c r="R13" s="17">
        <v>1</v>
      </c>
      <c r="S13" s="17"/>
      <c r="T13" s="18"/>
      <c r="U13" s="110">
        <f t="shared" si="0"/>
        <v>3</v>
      </c>
    </row>
    <row r="14" spans="2:33" ht="15" thickBot="1" x14ac:dyDescent="0.4">
      <c r="B14" s="366"/>
      <c r="C14" s="367"/>
      <c r="D14" s="367"/>
      <c r="E14" s="367"/>
      <c r="F14" s="541"/>
      <c r="G14" s="100"/>
      <c r="H14" s="101"/>
      <c r="I14" s="17"/>
      <c r="J14" s="17"/>
      <c r="K14" s="17"/>
      <c r="L14" s="17"/>
      <c r="M14" s="17"/>
      <c r="N14" s="17"/>
      <c r="O14" s="17"/>
      <c r="P14" s="17"/>
      <c r="Q14" s="17"/>
      <c r="R14" s="17"/>
      <c r="S14" s="17"/>
      <c r="T14" s="18"/>
      <c r="U14" s="110"/>
      <c r="AE14" s="550" t="s">
        <v>247</v>
      </c>
      <c r="AF14" s="551"/>
    </row>
    <row r="15" spans="2:33" ht="15" thickBot="1" x14ac:dyDescent="0.4">
      <c r="B15" s="366" t="s">
        <v>135</v>
      </c>
      <c r="C15" s="367"/>
      <c r="D15" s="367"/>
      <c r="E15" s="367"/>
      <c r="F15" s="367"/>
      <c r="G15" s="100"/>
      <c r="H15" s="101"/>
      <c r="I15" s="17">
        <v>5</v>
      </c>
      <c r="J15" s="17">
        <v>4</v>
      </c>
      <c r="K15" s="17">
        <v>4</v>
      </c>
      <c r="L15" s="17">
        <v>5</v>
      </c>
      <c r="M15" s="17">
        <v>4</v>
      </c>
      <c r="N15" s="17">
        <v>4</v>
      </c>
      <c r="O15" s="17">
        <v>5</v>
      </c>
      <c r="P15" s="17">
        <v>4</v>
      </c>
      <c r="Q15" s="17">
        <v>4</v>
      </c>
      <c r="R15" s="17">
        <v>5</v>
      </c>
      <c r="S15" s="17">
        <v>4</v>
      </c>
      <c r="T15" s="18">
        <v>4</v>
      </c>
      <c r="U15" s="110">
        <f t="shared" ref="U15:U25" si="1">SUM(I15:T15)</f>
        <v>52</v>
      </c>
      <c r="AE15" s="205" t="s">
        <v>211</v>
      </c>
      <c r="AF15" s="552">
        <f>+AF12/(COUNTIF((AF4:AF10),"&gt;0")*24)</f>
        <v>0.375</v>
      </c>
    </row>
    <row r="16" spans="2:33" ht="15" thickBot="1" x14ac:dyDescent="0.4">
      <c r="B16" s="366" t="s">
        <v>136</v>
      </c>
      <c r="C16" s="367"/>
      <c r="D16" s="367"/>
      <c r="E16" s="367"/>
      <c r="F16" s="367"/>
      <c r="G16" s="100"/>
      <c r="H16" s="101"/>
      <c r="I16" s="17">
        <v>5</v>
      </c>
      <c r="J16" s="17">
        <v>4</v>
      </c>
      <c r="K16" s="17">
        <v>4</v>
      </c>
      <c r="L16" s="17">
        <v>5</v>
      </c>
      <c r="M16" s="17">
        <v>4</v>
      </c>
      <c r="N16" s="17">
        <v>4</v>
      </c>
      <c r="O16" s="17">
        <v>5</v>
      </c>
      <c r="P16" s="17">
        <v>4</v>
      </c>
      <c r="Q16" s="17">
        <v>4</v>
      </c>
      <c r="R16" s="17">
        <v>5</v>
      </c>
      <c r="S16" s="17">
        <v>4</v>
      </c>
      <c r="T16" s="18">
        <v>4</v>
      </c>
      <c r="U16" s="110">
        <f t="shared" si="1"/>
        <v>52</v>
      </c>
      <c r="AE16" s="205" t="s">
        <v>210</v>
      </c>
      <c r="AF16" s="553"/>
    </row>
    <row r="17" spans="2:32" x14ac:dyDescent="0.35">
      <c r="B17" s="546" t="s">
        <v>149</v>
      </c>
      <c r="C17" s="528"/>
      <c r="D17" s="528"/>
      <c r="E17" s="528"/>
      <c r="F17" s="529"/>
      <c r="G17" s="100"/>
      <c r="H17" s="101"/>
      <c r="I17" s="17"/>
      <c r="J17" s="17"/>
      <c r="K17" s="17"/>
      <c r="L17" s="17"/>
      <c r="M17" s="17"/>
      <c r="N17" s="17"/>
      <c r="O17" s="17"/>
      <c r="P17" s="17"/>
      <c r="Q17" s="17"/>
      <c r="R17" s="17"/>
      <c r="S17" s="17"/>
      <c r="T17" s="18"/>
      <c r="U17" s="110"/>
    </row>
    <row r="18" spans="2:32" x14ac:dyDescent="0.35">
      <c r="B18" s="530"/>
      <c r="C18" s="531"/>
      <c r="D18" s="531"/>
      <c r="E18" s="531"/>
      <c r="F18" s="532"/>
      <c r="G18" s="100" t="s">
        <v>133</v>
      </c>
      <c r="H18" s="101" t="s">
        <v>147</v>
      </c>
      <c r="I18" s="17">
        <v>1</v>
      </c>
      <c r="J18" s="17">
        <v>1</v>
      </c>
      <c r="K18" s="17">
        <v>1</v>
      </c>
      <c r="L18" s="17">
        <v>1</v>
      </c>
      <c r="M18" s="17">
        <v>1</v>
      </c>
      <c r="N18" s="17">
        <v>1</v>
      </c>
      <c r="O18" s="17">
        <v>1</v>
      </c>
      <c r="P18" s="17">
        <v>1</v>
      </c>
      <c r="Q18" s="17">
        <v>1</v>
      </c>
      <c r="R18" s="17">
        <v>2</v>
      </c>
      <c r="S18" s="17">
        <v>1</v>
      </c>
      <c r="T18" s="18">
        <v>1</v>
      </c>
      <c r="U18" s="110">
        <f t="shared" si="1"/>
        <v>13</v>
      </c>
      <c r="AE18" s="554" t="s">
        <v>216</v>
      </c>
      <c r="AF18" s="555"/>
    </row>
    <row r="19" spans="2:32" x14ac:dyDescent="0.35">
      <c r="B19" s="530"/>
      <c r="C19" s="531"/>
      <c r="D19" s="531"/>
      <c r="E19" s="531"/>
      <c r="F19" s="532"/>
      <c r="G19" s="100" t="s">
        <v>127</v>
      </c>
      <c r="H19" s="101" t="s">
        <v>146</v>
      </c>
      <c r="I19" s="17">
        <v>1</v>
      </c>
      <c r="J19" s="17">
        <v>1</v>
      </c>
      <c r="K19" s="17">
        <v>1</v>
      </c>
      <c r="L19" s="17">
        <v>1</v>
      </c>
      <c r="M19" s="17">
        <v>1</v>
      </c>
      <c r="N19" s="17">
        <v>1</v>
      </c>
      <c r="O19" s="17">
        <v>1</v>
      </c>
      <c r="P19" s="17">
        <v>1</v>
      </c>
      <c r="Q19" s="17">
        <v>1</v>
      </c>
      <c r="R19" s="17">
        <v>1</v>
      </c>
      <c r="S19" s="17">
        <v>1</v>
      </c>
      <c r="T19" s="18">
        <v>2</v>
      </c>
      <c r="U19" s="110">
        <f t="shared" si="1"/>
        <v>13</v>
      </c>
      <c r="AE19" s="556"/>
      <c r="AF19" s="557"/>
    </row>
    <row r="20" spans="2:32" x14ac:dyDescent="0.35">
      <c r="B20" s="530"/>
      <c r="C20" s="531"/>
      <c r="D20" s="531"/>
      <c r="E20" s="531"/>
      <c r="F20" s="532"/>
      <c r="G20" s="100" t="s">
        <v>132</v>
      </c>
      <c r="H20" s="101" t="s">
        <v>146</v>
      </c>
      <c r="I20" s="17">
        <v>2</v>
      </c>
      <c r="J20" s="17">
        <v>1</v>
      </c>
      <c r="K20" s="17">
        <v>1</v>
      </c>
      <c r="L20" s="17">
        <v>1</v>
      </c>
      <c r="M20" s="17">
        <v>1</v>
      </c>
      <c r="N20" s="17">
        <v>1</v>
      </c>
      <c r="O20" s="17">
        <v>1</v>
      </c>
      <c r="P20" s="17">
        <v>1</v>
      </c>
      <c r="Q20" s="17">
        <v>1</v>
      </c>
      <c r="R20" s="17">
        <v>1</v>
      </c>
      <c r="S20" s="17">
        <v>1</v>
      </c>
      <c r="T20" s="18">
        <v>1</v>
      </c>
      <c r="U20" s="110">
        <f t="shared" si="1"/>
        <v>13</v>
      </c>
      <c r="AE20" s="559" t="s">
        <v>217</v>
      </c>
      <c r="AF20" s="560"/>
    </row>
    <row r="21" spans="2:32" x14ac:dyDescent="0.35">
      <c r="B21" s="530"/>
      <c r="C21" s="531"/>
      <c r="D21" s="531"/>
      <c r="E21" s="531"/>
      <c r="F21" s="532"/>
      <c r="G21" s="100" t="s">
        <v>128</v>
      </c>
      <c r="H21" s="101" t="s">
        <v>146</v>
      </c>
      <c r="I21" s="17">
        <v>2</v>
      </c>
      <c r="J21" s="17">
        <v>1</v>
      </c>
      <c r="K21" s="17">
        <v>1</v>
      </c>
      <c r="L21" s="17">
        <v>1</v>
      </c>
      <c r="M21" s="17">
        <v>1</v>
      </c>
      <c r="N21" s="17">
        <v>1</v>
      </c>
      <c r="O21" s="17">
        <v>1</v>
      </c>
      <c r="P21" s="17">
        <v>1</v>
      </c>
      <c r="Q21" s="17">
        <v>1</v>
      </c>
      <c r="R21" s="17">
        <v>1</v>
      </c>
      <c r="S21" s="17">
        <v>1</v>
      </c>
      <c r="T21" s="18">
        <v>1</v>
      </c>
      <c r="U21" s="110">
        <f t="shared" si="1"/>
        <v>13</v>
      </c>
      <c r="AE21" s="561"/>
      <c r="AF21" s="562"/>
    </row>
    <row r="22" spans="2:32" x14ac:dyDescent="0.35">
      <c r="B22" s="530"/>
      <c r="C22" s="531"/>
      <c r="D22" s="531"/>
      <c r="E22" s="531"/>
      <c r="F22" s="532"/>
      <c r="G22" s="100" t="s">
        <v>130</v>
      </c>
      <c r="H22" s="101" t="s">
        <v>147</v>
      </c>
      <c r="I22" s="17">
        <v>1</v>
      </c>
      <c r="J22" s="17">
        <v>1</v>
      </c>
      <c r="K22" s="17">
        <v>1</v>
      </c>
      <c r="L22" s="17">
        <v>2</v>
      </c>
      <c r="M22" s="17">
        <v>1</v>
      </c>
      <c r="N22" s="17">
        <v>1</v>
      </c>
      <c r="O22" s="17">
        <v>1</v>
      </c>
      <c r="P22" s="17">
        <v>1</v>
      </c>
      <c r="Q22" s="17">
        <v>1</v>
      </c>
      <c r="R22" s="17">
        <v>1</v>
      </c>
      <c r="S22" s="17">
        <v>1</v>
      </c>
      <c r="T22" s="18">
        <v>1</v>
      </c>
      <c r="U22" s="110">
        <f t="shared" si="1"/>
        <v>13</v>
      </c>
      <c r="AE22" s="563"/>
      <c r="AF22" s="564"/>
    </row>
    <row r="23" spans="2:32" x14ac:dyDescent="0.35">
      <c r="B23" s="530"/>
      <c r="C23" s="531"/>
      <c r="D23" s="531"/>
      <c r="E23" s="531"/>
      <c r="F23" s="532"/>
      <c r="G23" s="100" t="s">
        <v>134</v>
      </c>
      <c r="H23" s="101" t="s">
        <v>146</v>
      </c>
      <c r="I23" s="17">
        <v>2</v>
      </c>
      <c r="J23" s="17">
        <v>1</v>
      </c>
      <c r="K23" s="17">
        <v>1</v>
      </c>
      <c r="L23" s="17">
        <v>1</v>
      </c>
      <c r="M23" s="17">
        <v>1</v>
      </c>
      <c r="N23" s="17">
        <v>1</v>
      </c>
      <c r="O23" s="17">
        <v>1</v>
      </c>
      <c r="P23" s="17">
        <v>1</v>
      </c>
      <c r="Q23" s="17">
        <v>1</v>
      </c>
      <c r="R23" s="17">
        <v>1</v>
      </c>
      <c r="S23" s="17">
        <v>1</v>
      </c>
      <c r="T23" s="18">
        <v>1</v>
      </c>
      <c r="U23" s="110">
        <f t="shared" si="1"/>
        <v>13</v>
      </c>
    </row>
    <row r="24" spans="2:32" x14ac:dyDescent="0.35">
      <c r="B24" s="530"/>
      <c r="C24" s="531"/>
      <c r="D24" s="531"/>
      <c r="E24" s="531"/>
      <c r="F24" s="532"/>
      <c r="G24" s="100" t="s">
        <v>129</v>
      </c>
      <c r="H24" s="101" t="s">
        <v>148</v>
      </c>
      <c r="I24" s="17">
        <v>1</v>
      </c>
      <c r="J24" s="17">
        <v>1</v>
      </c>
      <c r="K24" s="17">
        <v>1</v>
      </c>
      <c r="L24" s="17">
        <v>2</v>
      </c>
      <c r="M24" s="17">
        <v>1</v>
      </c>
      <c r="N24" s="17">
        <v>1</v>
      </c>
      <c r="O24" s="17">
        <v>1</v>
      </c>
      <c r="P24" s="17">
        <v>1</v>
      </c>
      <c r="Q24" s="17">
        <v>1</v>
      </c>
      <c r="R24" s="17">
        <v>1</v>
      </c>
      <c r="S24" s="17">
        <v>1</v>
      </c>
      <c r="T24" s="18">
        <v>1</v>
      </c>
      <c r="U24" s="110">
        <f t="shared" si="1"/>
        <v>13</v>
      </c>
    </row>
    <row r="25" spans="2:32" x14ac:dyDescent="0.35">
      <c r="B25" s="533"/>
      <c r="C25" s="534"/>
      <c r="D25" s="534"/>
      <c r="E25" s="534"/>
      <c r="F25" s="535"/>
      <c r="G25" s="100" t="s">
        <v>131</v>
      </c>
      <c r="H25" s="101" t="s">
        <v>147</v>
      </c>
      <c r="I25" s="17">
        <v>1</v>
      </c>
      <c r="J25" s="17">
        <v>1</v>
      </c>
      <c r="K25" s="17">
        <v>1</v>
      </c>
      <c r="L25" s="17">
        <v>1</v>
      </c>
      <c r="M25" s="17">
        <v>1</v>
      </c>
      <c r="N25" s="17">
        <v>1</v>
      </c>
      <c r="O25" s="17">
        <v>2</v>
      </c>
      <c r="P25" s="17">
        <v>1</v>
      </c>
      <c r="Q25" s="17">
        <v>1</v>
      </c>
      <c r="R25" s="17">
        <v>1</v>
      </c>
      <c r="S25" s="17">
        <v>1</v>
      </c>
      <c r="T25" s="18">
        <v>1</v>
      </c>
      <c r="U25" s="110">
        <f t="shared" si="1"/>
        <v>13</v>
      </c>
    </row>
    <row r="26" spans="2:32" x14ac:dyDescent="0.35">
      <c r="B26" s="366"/>
      <c r="C26" s="367"/>
      <c r="D26" s="367"/>
      <c r="E26" s="367"/>
      <c r="F26" s="367"/>
      <c r="G26" s="100"/>
      <c r="H26" s="101"/>
      <c r="I26" s="17"/>
      <c r="J26" s="17"/>
      <c r="K26" s="17"/>
      <c r="L26" s="17"/>
      <c r="M26" s="17"/>
      <c r="N26" s="17"/>
      <c r="O26" s="17"/>
      <c r="P26" s="17"/>
      <c r="Q26" s="17"/>
      <c r="R26" s="17"/>
      <c r="S26" s="17"/>
      <c r="T26" s="18"/>
      <c r="U26" s="110"/>
    </row>
    <row r="27" spans="2:32" ht="15" thickBot="1" x14ac:dyDescent="0.4">
      <c r="B27" s="407" t="s">
        <v>31</v>
      </c>
      <c r="C27" s="408"/>
      <c r="D27" s="408"/>
      <c r="E27" s="408"/>
      <c r="F27" s="408"/>
      <c r="G27" s="93"/>
      <c r="H27" s="94"/>
      <c r="I27" s="19">
        <v>4</v>
      </c>
      <c r="J27" s="19">
        <v>0</v>
      </c>
      <c r="K27" s="19">
        <v>0</v>
      </c>
      <c r="L27" s="19">
        <v>4</v>
      </c>
      <c r="M27" s="19">
        <v>0</v>
      </c>
      <c r="N27" s="19">
        <v>0</v>
      </c>
      <c r="O27" s="19">
        <v>0</v>
      </c>
      <c r="P27" s="19">
        <v>1</v>
      </c>
      <c r="Q27" s="19">
        <v>0</v>
      </c>
      <c r="R27" s="19">
        <v>0</v>
      </c>
      <c r="S27" s="19">
        <v>0</v>
      </c>
      <c r="T27" s="20">
        <v>3</v>
      </c>
      <c r="U27" s="111">
        <f t="shared" si="0"/>
        <v>12</v>
      </c>
    </row>
    <row r="28" spans="2:32" ht="8.25" customHeight="1" x14ac:dyDescent="0.35"/>
    <row r="29" spans="2:32" ht="19" thickBot="1" x14ac:dyDescent="0.5">
      <c r="B29" s="542" t="s">
        <v>189</v>
      </c>
      <c r="C29" s="543"/>
      <c r="D29" s="543"/>
      <c r="E29" s="543"/>
      <c r="F29" s="543"/>
      <c r="G29" s="543"/>
      <c r="H29" s="543"/>
      <c r="I29" s="543"/>
      <c r="J29" s="543"/>
      <c r="K29" s="543"/>
      <c r="L29" s="543"/>
      <c r="M29" s="543"/>
      <c r="N29" s="543"/>
      <c r="O29" s="543"/>
      <c r="P29" s="543"/>
      <c r="Q29" s="543"/>
      <c r="R29" s="543"/>
      <c r="S29" s="543"/>
      <c r="T29" s="543"/>
      <c r="U29" s="543"/>
    </row>
    <row r="30" spans="2:32" ht="15" thickBot="1" x14ac:dyDescent="0.4">
      <c r="B30" s="544" t="s">
        <v>137</v>
      </c>
      <c r="C30" s="545"/>
      <c r="D30" s="545"/>
      <c r="E30" s="545"/>
      <c r="F30" s="545"/>
      <c r="G30" s="116"/>
      <c r="H30" s="117"/>
      <c r="I30" s="118">
        <f>I4</f>
        <v>31</v>
      </c>
      <c r="J30" s="118">
        <f t="shared" ref="J30:T30" si="2">J4</f>
        <v>28</v>
      </c>
      <c r="K30" s="118">
        <f t="shared" si="2"/>
        <v>31</v>
      </c>
      <c r="L30" s="118">
        <f t="shared" si="2"/>
        <v>30</v>
      </c>
      <c r="M30" s="118">
        <f t="shared" si="2"/>
        <v>31</v>
      </c>
      <c r="N30" s="118">
        <f t="shared" si="2"/>
        <v>30</v>
      </c>
      <c r="O30" s="118">
        <f t="shared" si="2"/>
        <v>31</v>
      </c>
      <c r="P30" s="118">
        <f t="shared" si="2"/>
        <v>31</v>
      </c>
      <c r="Q30" s="118">
        <f t="shared" si="2"/>
        <v>30</v>
      </c>
      <c r="R30" s="118">
        <f t="shared" si="2"/>
        <v>31</v>
      </c>
      <c r="S30" s="118">
        <f t="shared" si="2"/>
        <v>30</v>
      </c>
      <c r="T30" s="148">
        <f t="shared" si="2"/>
        <v>31</v>
      </c>
      <c r="U30" s="152">
        <f t="shared" ref="U30:U37" si="3">SUM(I30:T30)</f>
        <v>365</v>
      </c>
    </row>
    <row r="31" spans="2:32" ht="15" thickBot="1" x14ac:dyDescent="0.4">
      <c r="B31" s="538" t="s">
        <v>152</v>
      </c>
      <c r="C31" s="379"/>
      <c r="D31" s="379"/>
      <c r="E31" s="379"/>
      <c r="F31" s="379"/>
      <c r="G31" s="98"/>
      <c r="H31" s="99"/>
      <c r="I31" s="15">
        <f t="shared" ref="I31:T31" si="4">+I15</f>
        <v>5</v>
      </c>
      <c r="J31" s="15">
        <f t="shared" si="4"/>
        <v>4</v>
      </c>
      <c r="K31" s="15">
        <f t="shared" si="4"/>
        <v>4</v>
      </c>
      <c r="L31" s="15">
        <f t="shared" si="4"/>
        <v>5</v>
      </c>
      <c r="M31" s="15">
        <f t="shared" si="4"/>
        <v>4</v>
      </c>
      <c r="N31" s="15">
        <f t="shared" si="4"/>
        <v>4</v>
      </c>
      <c r="O31" s="15">
        <f t="shared" si="4"/>
        <v>5</v>
      </c>
      <c r="P31" s="15">
        <f t="shared" si="4"/>
        <v>4</v>
      </c>
      <c r="Q31" s="15">
        <f t="shared" si="4"/>
        <v>4</v>
      </c>
      <c r="R31" s="15">
        <f t="shared" si="4"/>
        <v>5</v>
      </c>
      <c r="S31" s="15">
        <f t="shared" si="4"/>
        <v>4</v>
      </c>
      <c r="T31" s="149">
        <f t="shared" si="4"/>
        <v>4</v>
      </c>
      <c r="U31" s="153">
        <f>SUM(I31:T31)</f>
        <v>52</v>
      </c>
      <c r="V31" s="134">
        <f t="shared" ref="V31:V32" si="5">+U31/$U$30</f>
        <v>0.14246575342465753</v>
      </c>
    </row>
    <row r="32" spans="2:32" ht="15" thickBot="1" x14ac:dyDescent="0.4">
      <c r="B32" s="538" t="s">
        <v>153</v>
      </c>
      <c r="C32" s="379"/>
      <c r="D32" s="379"/>
      <c r="E32" s="379"/>
      <c r="F32" s="379"/>
      <c r="G32" s="98"/>
      <c r="H32" s="99"/>
      <c r="I32" s="108">
        <v>0</v>
      </c>
      <c r="J32" s="108">
        <v>0</v>
      </c>
      <c r="K32" s="108">
        <v>0</v>
      </c>
      <c r="L32" s="108">
        <v>0</v>
      </c>
      <c r="M32" s="108">
        <v>0</v>
      </c>
      <c r="N32" s="108">
        <v>0</v>
      </c>
      <c r="O32" s="108">
        <v>0</v>
      </c>
      <c r="P32" s="108">
        <v>0</v>
      </c>
      <c r="Q32" s="108">
        <v>0</v>
      </c>
      <c r="R32" s="108">
        <v>0</v>
      </c>
      <c r="S32" s="108">
        <v>0</v>
      </c>
      <c r="T32" s="150">
        <v>0</v>
      </c>
      <c r="U32" s="153">
        <f>SUM(I32:T32)</f>
        <v>0</v>
      </c>
      <c r="V32" s="134">
        <f t="shared" si="5"/>
        <v>0</v>
      </c>
    </row>
    <row r="33" spans="2:32" ht="15" thickBot="1" x14ac:dyDescent="0.4">
      <c r="B33" s="538" t="s">
        <v>150</v>
      </c>
      <c r="C33" s="379"/>
      <c r="D33" s="379"/>
      <c r="E33" s="379"/>
      <c r="F33" s="379"/>
      <c r="G33" s="98"/>
      <c r="H33" s="99"/>
      <c r="I33" s="15">
        <f t="shared" ref="I33:T33" si="6">+I5</f>
        <v>2</v>
      </c>
      <c r="J33" s="15">
        <f t="shared" si="6"/>
        <v>0</v>
      </c>
      <c r="K33" s="15">
        <f t="shared" si="6"/>
        <v>0</v>
      </c>
      <c r="L33" s="15">
        <f t="shared" si="6"/>
        <v>3</v>
      </c>
      <c r="M33" s="15">
        <f t="shared" si="6"/>
        <v>0</v>
      </c>
      <c r="N33" s="15">
        <f t="shared" si="6"/>
        <v>0</v>
      </c>
      <c r="O33" s="15">
        <f t="shared" si="6"/>
        <v>0</v>
      </c>
      <c r="P33" s="15">
        <f t="shared" si="6"/>
        <v>0</v>
      </c>
      <c r="Q33" s="15">
        <f t="shared" si="6"/>
        <v>0</v>
      </c>
      <c r="R33" s="15">
        <f t="shared" si="6"/>
        <v>0</v>
      </c>
      <c r="S33" s="15">
        <f t="shared" si="6"/>
        <v>0</v>
      </c>
      <c r="T33" s="15">
        <f t="shared" si="6"/>
        <v>2</v>
      </c>
      <c r="U33" s="153">
        <f t="shared" si="3"/>
        <v>7</v>
      </c>
      <c r="V33" s="134">
        <f>+U33/$U$30</f>
        <v>1.9178082191780823E-2</v>
      </c>
      <c r="AE33" s="558" t="s">
        <v>249</v>
      </c>
      <c r="AF33" s="558"/>
    </row>
    <row r="34" spans="2:32" ht="15" thickBot="1" x14ac:dyDescent="0.4">
      <c r="B34" s="538" t="s">
        <v>151</v>
      </c>
      <c r="C34" s="379"/>
      <c r="D34" s="379"/>
      <c r="E34" s="379"/>
      <c r="F34" s="379"/>
      <c r="G34" s="98" t="s">
        <v>129</v>
      </c>
      <c r="H34" s="99"/>
      <c r="I34" s="15"/>
      <c r="J34" s="15">
        <v>1</v>
      </c>
      <c r="K34" s="15"/>
      <c r="L34" s="15"/>
      <c r="M34" s="15"/>
      <c r="N34" s="15">
        <v>1</v>
      </c>
      <c r="O34" s="15"/>
      <c r="P34" s="15"/>
      <c r="Q34" s="15">
        <v>1</v>
      </c>
      <c r="R34" s="15"/>
      <c r="S34" s="15">
        <v>1</v>
      </c>
      <c r="T34" s="15"/>
      <c r="U34" s="153">
        <f t="shared" si="3"/>
        <v>4</v>
      </c>
      <c r="V34" s="134">
        <f t="shared" ref="V34:V37" si="7">+U34/$U$30</f>
        <v>1.0958904109589041E-2</v>
      </c>
      <c r="AE34" s="558"/>
      <c r="AF34" s="558"/>
    </row>
    <row r="35" spans="2:32" ht="15" thickBot="1" x14ac:dyDescent="0.4">
      <c r="B35" s="538" t="s">
        <v>192</v>
      </c>
      <c r="C35" s="379"/>
      <c r="D35" s="379"/>
      <c r="E35" s="379"/>
      <c r="F35" s="379"/>
      <c r="G35" s="98" t="s">
        <v>129</v>
      </c>
      <c r="H35" s="99" t="s">
        <v>146</v>
      </c>
      <c r="I35" s="15">
        <v>3</v>
      </c>
      <c r="J35" s="15">
        <v>1</v>
      </c>
      <c r="K35" s="15">
        <v>4</v>
      </c>
      <c r="L35" s="15">
        <f t="shared" ref="L35:O35" si="8">L19</f>
        <v>1</v>
      </c>
      <c r="M35" s="15">
        <v>2</v>
      </c>
      <c r="N35" s="15">
        <v>4</v>
      </c>
      <c r="O35" s="15">
        <f t="shared" si="8"/>
        <v>1</v>
      </c>
      <c r="P35" s="15">
        <v>2</v>
      </c>
      <c r="Q35" s="15">
        <v>2</v>
      </c>
      <c r="R35" s="15"/>
      <c r="S35" s="15">
        <v>5</v>
      </c>
      <c r="T35" s="15">
        <v>4</v>
      </c>
      <c r="U35" s="153">
        <f t="shared" si="3"/>
        <v>29</v>
      </c>
      <c r="V35" s="134">
        <f t="shared" si="7"/>
        <v>7.9452054794520555E-2</v>
      </c>
      <c r="W35" s="516" t="s">
        <v>187</v>
      </c>
      <c r="X35" s="517"/>
      <c r="Y35" s="517"/>
      <c r="Z35" s="517"/>
      <c r="AA35" s="517"/>
      <c r="AB35" s="518"/>
      <c r="AE35" s="558"/>
      <c r="AF35" s="558"/>
    </row>
    <row r="36" spans="2:32" ht="15" thickBot="1" x14ac:dyDescent="0.4">
      <c r="B36" s="538" t="s">
        <v>154</v>
      </c>
      <c r="C36" s="379"/>
      <c r="D36" s="379"/>
      <c r="E36" s="379"/>
      <c r="F36" s="379"/>
      <c r="G36" s="98"/>
      <c r="H36" s="99"/>
      <c r="I36" s="15">
        <v>6</v>
      </c>
      <c r="J36" s="15"/>
      <c r="K36" s="15">
        <f t="shared" ref="K36:S36" si="9">+K27</f>
        <v>0</v>
      </c>
      <c r="L36" s="15">
        <v>2</v>
      </c>
      <c r="M36" s="15">
        <f t="shared" si="9"/>
        <v>0</v>
      </c>
      <c r="N36" s="15">
        <f t="shared" si="9"/>
        <v>0</v>
      </c>
      <c r="O36" s="15">
        <f t="shared" si="9"/>
        <v>0</v>
      </c>
      <c r="P36" s="15">
        <f t="shared" si="9"/>
        <v>1</v>
      </c>
      <c r="Q36" s="15">
        <f t="shared" si="9"/>
        <v>0</v>
      </c>
      <c r="R36" s="15">
        <f t="shared" si="9"/>
        <v>0</v>
      </c>
      <c r="S36" s="15">
        <f t="shared" si="9"/>
        <v>0</v>
      </c>
      <c r="T36" s="149">
        <v>9</v>
      </c>
      <c r="U36" s="153">
        <f t="shared" si="3"/>
        <v>18</v>
      </c>
      <c r="V36" s="134">
        <f t="shared" si="7"/>
        <v>4.9315068493150684E-2</v>
      </c>
      <c r="W36" s="519"/>
      <c r="X36" s="520"/>
      <c r="Y36" s="520"/>
      <c r="Z36" s="520"/>
      <c r="AA36" s="520"/>
      <c r="AB36" s="521"/>
    </row>
    <row r="37" spans="2:32" ht="15" thickBot="1" x14ac:dyDescent="0.4">
      <c r="B37" s="539" t="s">
        <v>155</v>
      </c>
      <c r="C37" s="540"/>
      <c r="D37" s="540"/>
      <c r="E37" s="540"/>
      <c r="F37" s="540"/>
      <c r="G37" s="113"/>
      <c r="H37" s="114"/>
      <c r="I37" s="115">
        <f t="shared" ref="I37:T37" si="10">+I30-I33-I34-I31-I32-I35-I36</f>
        <v>15</v>
      </c>
      <c r="J37" s="115">
        <f t="shared" si="10"/>
        <v>22</v>
      </c>
      <c r="K37" s="115">
        <f t="shared" si="10"/>
        <v>23</v>
      </c>
      <c r="L37" s="115">
        <f t="shared" si="10"/>
        <v>19</v>
      </c>
      <c r="M37" s="115">
        <f t="shared" si="10"/>
        <v>25</v>
      </c>
      <c r="N37" s="115">
        <f t="shared" si="10"/>
        <v>21</v>
      </c>
      <c r="O37" s="115">
        <f t="shared" si="10"/>
        <v>25</v>
      </c>
      <c r="P37" s="115">
        <f t="shared" si="10"/>
        <v>24</v>
      </c>
      <c r="Q37" s="115">
        <f t="shared" si="10"/>
        <v>23</v>
      </c>
      <c r="R37" s="115">
        <f t="shared" si="10"/>
        <v>26</v>
      </c>
      <c r="S37" s="115">
        <f t="shared" si="10"/>
        <v>20</v>
      </c>
      <c r="T37" s="151">
        <f t="shared" si="10"/>
        <v>12</v>
      </c>
      <c r="U37" s="255">
        <f t="shared" si="3"/>
        <v>255</v>
      </c>
      <c r="V37" s="134">
        <f t="shared" si="7"/>
        <v>0.69863013698630139</v>
      </c>
      <c r="W37" t="s">
        <v>167</v>
      </c>
      <c r="X37" t="s">
        <v>286</v>
      </c>
    </row>
    <row r="38" spans="2:32" ht="15" thickBot="1" x14ac:dyDescent="0.4">
      <c r="E38" t="s">
        <v>198</v>
      </c>
      <c r="I38" s="119">
        <f t="shared" ref="I38:U38" si="11">+I37/I30</f>
        <v>0.4838709677419355</v>
      </c>
      <c r="J38" s="119">
        <f t="shared" si="11"/>
        <v>0.7857142857142857</v>
      </c>
      <c r="K38" s="119">
        <f t="shared" si="11"/>
        <v>0.74193548387096775</v>
      </c>
      <c r="L38" s="119">
        <f t="shared" si="11"/>
        <v>0.6333333333333333</v>
      </c>
      <c r="M38" s="119">
        <f t="shared" si="11"/>
        <v>0.80645161290322576</v>
      </c>
      <c r="N38" s="119">
        <f t="shared" si="11"/>
        <v>0.7</v>
      </c>
      <c r="O38" s="119">
        <f t="shared" si="11"/>
        <v>0.80645161290322576</v>
      </c>
      <c r="P38" s="119">
        <f t="shared" si="11"/>
        <v>0.77419354838709675</v>
      </c>
      <c r="Q38" s="119">
        <f t="shared" si="11"/>
        <v>0.76666666666666672</v>
      </c>
      <c r="R38" s="119">
        <f t="shared" si="11"/>
        <v>0.83870967741935487</v>
      </c>
      <c r="S38" s="119">
        <f t="shared" si="11"/>
        <v>0.66666666666666663</v>
      </c>
      <c r="T38" s="119">
        <f t="shared" si="11"/>
        <v>0.38709677419354838</v>
      </c>
      <c r="U38" s="254">
        <f t="shared" si="11"/>
        <v>0.69863013698630139</v>
      </c>
      <c r="V38" s="256"/>
      <c r="W38" s="257"/>
    </row>
    <row r="39" spans="2:32" ht="15" thickBot="1" x14ac:dyDescent="0.4">
      <c r="U39" s="258" t="s">
        <v>248</v>
      </c>
      <c r="V39" s="259"/>
      <c r="W39" s="260"/>
    </row>
  </sheetData>
  <sortState xmlns:xlrd2="http://schemas.microsoft.com/office/spreadsheetml/2017/richdata2" ref="G9:H15">
    <sortCondition ref="G9"/>
  </sortState>
  <mergeCells count="30">
    <mergeCell ref="AE2:AG2"/>
    <mergeCell ref="AE14:AF14"/>
    <mergeCell ref="AF15:AF16"/>
    <mergeCell ref="AE18:AF19"/>
    <mergeCell ref="AE33:AF35"/>
    <mergeCell ref="AE20:AF22"/>
    <mergeCell ref="B36:F36"/>
    <mergeCell ref="B37:F37"/>
    <mergeCell ref="B14:F14"/>
    <mergeCell ref="B29:U29"/>
    <mergeCell ref="B33:F33"/>
    <mergeCell ref="B30:F30"/>
    <mergeCell ref="B34:F34"/>
    <mergeCell ref="B31:F31"/>
    <mergeCell ref="B32:F32"/>
    <mergeCell ref="B27:F27"/>
    <mergeCell ref="B15:F15"/>
    <mergeCell ref="B16:F16"/>
    <mergeCell ref="B26:F26"/>
    <mergeCell ref="B17:F25"/>
    <mergeCell ref="B4:F4"/>
    <mergeCell ref="B5:F13"/>
    <mergeCell ref="B2:F3"/>
    <mergeCell ref="G2:G3"/>
    <mergeCell ref="B35:F35"/>
    <mergeCell ref="W35:AB36"/>
    <mergeCell ref="W2:AC4"/>
    <mergeCell ref="W5:AC7"/>
    <mergeCell ref="W8:AC9"/>
    <mergeCell ref="I2:T2"/>
  </mergeCells>
  <conditionalFormatting sqref="I5:T13">
    <cfRule type="cellIs" dxfId="1" priority="3" operator="greaterThan">
      <formula>0</formula>
    </cfRule>
  </conditionalFormatting>
  <conditionalFormatting sqref="I17:T25">
    <cfRule type="cellIs" dxfId="0" priority="1" operator="greaterThan">
      <formula>0</formula>
    </cfRule>
  </conditionalFormatting>
  <hyperlinks>
    <hyperlink ref="W35:AB36" location="'Project Site Calendar'!G34" display="For Clarity please note in cells G34:H35 the relevant State and Union RDO Calendar used" xr:uid="{00000000-0004-0000-0600-000000000000}"/>
  </hyperlinks>
  <pageMargins left="0.7" right="0.7" top="0.75" bottom="0.75" header="0.3" footer="0.3"/>
  <pageSetup paperSize="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D2D6-02FE-437E-93ED-B6F69E094AB3}">
  <dimension ref="B2:L32"/>
  <sheetViews>
    <sheetView workbookViewId="0">
      <selection activeCell="D23" sqref="D23"/>
    </sheetView>
  </sheetViews>
  <sheetFormatPr defaultRowHeight="14.5" x14ac:dyDescent="0.35"/>
  <cols>
    <col min="2" max="2" width="3.90625" customWidth="1"/>
    <col min="3" max="3" width="82.08984375" bestFit="1" customWidth="1"/>
    <col min="4" max="4" width="7.453125" customWidth="1"/>
    <col min="7" max="7" width="8.90625" customWidth="1"/>
    <col min="8" max="8" width="10.453125" customWidth="1"/>
    <col min="9" max="9" width="8" bestFit="1" customWidth="1"/>
    <col min="12" max="12" width="12.08984375" bestFit="1" customWidth="1"/>
  </cols>
  <sheetData>
    <row r="2" spans="2:12" x14ac:dyDescent="0.35">
      <c r="D2" s="53" t="s">
        <v>382</v>
      </c>
      <c r="G2" s="37" t="s">
        <v>383</v>
      </c>
      <c r="H2" s="37" t="s">
        <v>382</v>
      </c>
      <c r="L2" s="37" t="s">
        <v>357</v>
      </c>
    </row>
    <row r="3" spans="2:12" ht="21" x14ac:dyDescent="0.5">
      <c r="C3" s="299" t="s">
        <v>393</v>
      </c>
      <c r="D3" s="53" t="s">
        <v>358</v>
      </c>
      <c r="G3" s="53" t="s">
        <v>117</v>
      </c>
      <c r="H3" s="37" t="s">
        <v>252</v>
      </c>
      <c r="I3" s="53" t="s">
        <v>359</v>
      </c>
      <c r="L3" s="37" t="s">
        <v>360</v>
      </c>
    </row>
    <row r="4" spans="2:12" x14ac:dyDescent="0.35">
      <c r="D4" s="53" t="s">
        <v>11</v>
      </c>
      <c r="G4" s="53" t="s">
        <v>361</v>
      </c>
      <c r="H4" s="288" t="s">
        <v>362</v>
      </c>
      <c r="I4" s="53" t="s">
        <v>363</v>
      </c>
      <c r="L4" s="37" t="s">
        <v>384</v>
      </c>
    </row>
    <row r="5" spans="2:12" x14ac:dyDescent="0.35">
      <c r="C5" t="s">
        <v>394</v>
      </c>
      <c r="D5" s="300">
        <v>30</v>
      </c>
      <c r="L5" s="37" t="s">
        <v>364</v>
      </c>
    </row>
    <row r="6" spans="2:12" x14ac:dyDescent="0.35">
      <c r="C6" s="169" t="s">
        <v>365</v>
      </c>
      <c r="D6">
        <f>SUM(D7:D10)</f>
        <v>12.200000000000001</v>
      </c>
      <c r="E6" s="289">
        <f>+D6/$D$5</f>
        <v>0.40666666666666668</v>
      </c>
    </row>
    <row r="7" spans="2:12" ht="15" thickBot="1" x14ac:dyDescent="0.4">
      <c r="B7" s="169" t="s">
        <v>366</v>
      </c>
      <c r="C7" s="25" t="s">
        <v>120</v>
      </c>
      <c r="D7">
        <v>3.6</v>
      </c>
      <c r="E7" s="289">
        <f>+D7/$D$5</f>
        <v>0.12000000000000001</v>
      </c>
      <c r="L7" s="290" t="s">
        <v>367</v>
      </c>
    </row>
    <row r="8" spans="2:12" ht="15" thickBot="1" x14ac:dyDescent="0.4">
      <c r="B8" s="169" t="s">
        <v>368</v>
      </c>
      <c r="C8" s="25" t="s">
        <v>197</v>
      </c>
      <c r="D8" s="172">
        <v>6.5</v>
      </c>
      <c r="E8" s="289">
        <f>+D8/$D$5</f>
        <v>0.21666666666666667</v>
      </c>
      <c r="G8" s="291">
        <v>1.5</v>
      </c>
      <c r="H8" s="291">
        <v>0.8</v>
      </c>
      <c r="I8" s="292">
        <v>0.32740000000000002</v>
      </c>
      <c r="L8" s="293">
        <f>+D8*G8*I8*H8</f>
        <v>2.5537200000000002</v>
      </c>
    </row>
    <row r="9" spans="2:12" x14ac:dyDescent="0.35">
      <c r="B9" s="169" t="s">
        <v>369</v>
      </c>
      <c r="C9" s="25" t="s">
        <v>196</v>
      </c>
      <c r="D9">
        <v>1.8</v>
      </c>
      <c r="E9" s="289">
        <f>+D9/$D$5</f>
        <v>6.0000000000000005E-2</v>
      </c>
    </row>
    <row r="10" spans="2:12" x14ac:dyDescent="0.35">
      <c r="B10" s="169" t="s">
        <v>370</v>
      </c>
      <c r="C10" s="25" t="s">
        <v>70</v>
      </c>
      <c r="D10">
        <v>0.3</v>
      </c>
      <c r="E10" s="289">
        <f>+D10/$D$5</f>
        <v>0.01</v>
      </c>
    </row>
    <row r="13" spans="2:12" x14ac:dyDescent="0.35">
      <c r="C13" t="s">
        <v>371</v>
      </c>
    </row>
    <row r="14" spans="2:12" x14ac:dyDescent="0.35">
      <c r="C14" t="s">
        <v>372</v>
      </c>
    </row>
    <row r="15" spans="2:12" x14ac:dyDescent="0.35">
      <c r="C15" t="s">
        <v>373</v>
      </c>
    </row>
    <row r="16" spans="2:12" x14ac:dyDescent="0.35">
      <c r="C16" t="s">
        <v>374</v>
      </c>
      <c r="D16">
        <f>6.5*0.8</f>
        <v>5.2</v>
      </c>
      <c r="E16" t="s">
        <v>375</v>
      </c>
    </row>
    <row r="17" spans="3:5" x14ac:dyDescent="0.35">
      <c r="C17" t="s">
        <v>386</v>
      </c>
      <c r="D17">
        <f>+D16*1.5</f>
        <v>7.8000000000000007</v>
      </c>
      <c r="E17" t="s">
        <v>375</v>
      </c>
    </row>
    <row r="19" spans="3:5" x14ac:dyDescent="0.35">
      <c r="C19" t="s">
        <v>376</v>
      </c>
    </row>
    <row r="20" spans="3:5" x14ac:dyDescent="0.35">
      <c r="C20" t="s">
        <v>377</v>
      </c>
      <c r="D20" s="294"/>
    </row>
    <row r="21" spans="3:5" x14ac:dyDescent="0.35">
      <c r="C21" t="s">
        <v>395</v>
      </c>
      <c r="D21" s="301">
        <f>55/(6*24)</f>
        <v>0.38194444444444442</v>
      </c>
    </row>
    <row r="23" spans="3:5" x14ac:dyDescent="0.35">
      <c r="C23" t="s">
        <v>378</v>
      </c>
      <c r="D23" s="295">
        <f>+D21*D17</f>
        <v>2.979166666666667</v>
      </c>
      <c r="E23" s="37" t="s">
        <v>375</v>
      </c>
    </row>
    <row r="25" spans="3:5" x14ac:dyDescent="0.35">
      <c r="C25" s="296" t="s">
        <v>379</v>
      </c>
      <c r="D25" s="289"/>
    </row>
    <row r="26" spans="3:5" x14ac:dyDescent="0.35">
      <c r="C26" s="296" t="s">
        <v>380</v>
      </c>
    </row>
    <row r="27" spans="3:5" x14ac:dyDescent="0.35">
      <c r="C27" s="296" t="s">
        <v>381</v>
      </c>
    </row>
    <row r="29" spans="3:5" x14ac:dyDescent="0.35">
      <c r="C29" s="37" t="s">
        <v>385</v>
      </c>
    </row>
    <row r="30" spans="3:5" x14ac:dyDescent="0.35">
      <c r="C30" t="s">
        <v>387</v>
      </c>
    </row>
    <row r="31" spans="3:5" x14ac:dyDescent="0.35">
      <c r="C31" t="s">
        <v>388</v>
      </c>
      <c r="D31" s="295">
        <f>1.5* (6.5 /30)*(55/(6*24))*(24)</f>
        <v>2.979166666666667</v>
      </c>
      <c r="E31" s="37" t="s">
        <v>375</v>
      </c>
    </row>
    <row r="32" spans="3:5" x14ac:dyDescent="0.35">
      <c r="C32" t="s">
        <v>389</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customXsn xmlns="http://schemas.microsoft.com/office/2006/metadata/customXsn">
  <xsnLocation/>
  <cached>True</cached>
  <openByDefault>False</openByDefault>
  <xsnScope/>
</customXsn>
</file>

<file path=customXml/item2.xml><?xml version="1.0" encoding="utf-8"?>
<ct:contentTypeSchema xmlns:ct="http://schemas.microsoft.com/office/2006/metadata/contentType" xmlns:ma="http://schemas.microsoft.com/office/2006/metadata/properties/metaAttributes" ct:_="" ma:_="" ma:contentTypeName="IMS Document" ma:contentTypeID="0x010100E54245F13D69384489231BE8481B7ED801001857993E55B1534693AF6652CD2FF45D" ma:contentTypeVersion="54" ma:contentTypeDescription="IMS Document" ma:contentTypeScope="" ma:versionID="3faec1fb73b3699b1b24b9326152d969">
  <xsd:schema xmlns:xsd="http://www.w3.org/2001/XMLSchema" xmlns:xs="http://www.w3.org/2001/XMLSchema" xmlns:p="http://schemas.microsoft.com/office/2006/metadata/properties" xmlns:ns1="http://schemas.microsoft.com/sharepoint/v3" xmlns:ns2="9bffaa1d-934b-4b12-99d2-5e44e11eb249" xmlns:ns3="405fb3d9-11b2-432c-a186-83496ebc68ab" xmlns:ns4="http://schemas.microsoft.com/sharepoint/v4" targetNamespace="http://schemas.microsoft.com/office/2006/metadata/properties" ma:root="true" ma:fieldsID="cf2babec9a5079f2feb7a54278368dfd" ns1:_="" ns2:_="" ns3:_="" ns4:_="">
    <xsd:import namespace="http://schemas.microsoft.com/sharepoint/v3"/>
    <xsd:import namespace="9bffaa1d-934b-4b12-99d2-5e44e11eb249"/>
    <xsd:import namespace="405fb3d9-11b2-432c-a186-83496ebc68ab"/>
    <xsd:import namespace="http://schemas.microsoft.com/sharepoint/v4"/>
    <xsd:element name="properties">
      <xsd:complexType>
        <xsd:sequence>
          <xsd:element name="documentManagement">
            <xsd:complexType>
              <xsd:all>
                <xsd:element ref="ns2:DocumentNumber" minOccurs="0"/>
                <xsd:element ref="ns2:OperatingUnit" minOccurs="0"/>
                <xsd:element ref="ns2:DocumentType" minOccurs="0"/>
                <xsd:element ref="ns2:BusinessCategory" minOccurs="0"/>
                <xsd:element ref="ns2:RevisionDate" minOccurs="0"/>
                <xsd:element ref="ns2:RevisionNumber" minOccurs="0"/>
                <xsd:element ref="ns3:Change_x0020_Email_x0020_Description" minOccurs="0"/>
                <xsd:element ref="ns3:Send_x0020_Change_x0020_Email" minOccurs="0"/>
                <xsd:element ref="ns2:Sponsors" minOccurs="0"/>
                <xsd:element ref="ns2:Roles" minOccurs="0"/>
                <xsd:element ref="ns2:IMSVersion" minOccurs="0"/>
                <xsd:element ref="ns2:VersionDate" minOccurs="0"/>
                <xsd:element ref="ns2:Topic" minOccurs="0"/>
                <xsd:element ref="ns2:RailSMSElement" minOccurs="0"/>
                <xsd:element ref="ns3:Owner" minOccurs="0"/>
                <xsd:element ref="ns2:Country" minOccurs="0"/>
                <xsd:element ref="ns1:_ip_UnifiedCompliancePolicyProperties" minOccurs="0"/>
                <xsd:element ref="ns2:Business_x0020_Process" minOccurs="0"/>
                <xsd:element ref="ns3:Word_x0020_Version_x0020_Link" minOccurs="0"/>
                <xsd:element ref="ns3:Notify_x0020_of_x0020_Changes" minOccurs="0"/>
                <xsd:element ref="ns3:MediaServiceFastMetadata" minOccurs="0"/>
                <xsd:element ref="ns2:SharedWithUsers" minOccurs="0"/>
                <xsd:element ref="ns2:SharedWithDetails" minOccurs="0"/>
                <xsd:element ref="ns2:LastSharedByUser" minOccurs="0"/>
                <xsd:element ref="ns2:LastSharedByTime" minOccurs="0"/>
                <xsd:element ref="ns3:MediaServiceEventHashCode" minOccurs="0"/>
                <xsd:element ref="ns3:MediaServiceGenerationTime" minOccurs="0"/>
                <xsd:element ref="ns3:MediaServiceMetadata" minOccurs="0"/>
                <xsd:element ref="ns1:_ip_UnifiedCompliancePolicyUIAction" minOccurs="0"/>
                <xsd:element ref="ns3:Notify_x0020_QUA_x0020_change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description="" ma:hidden="true" ma:internalName="_ip_UnifiedCompliancePolicyProperties">
      <xsd:simpleType>
        <xsd:restriction base="dms:Note"/>
      </xsd:simpleType>
    </xsd:element>
    <xsd:element name="_ip_UnifiedCompliancePolicyUIAction" ma:index="40"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ffaa1d-934b-4b12-99d2-5e44e11eb249" elementFormDefault="qualified">
    <xsd:import namespace="http://schemas.microsoft.com/office/2006/documentManagement/types"/>
    <xsd:import namespace="http://schemas.microsoft.com/office/infopath/2007/PartnerControls"/>
    <xsd:element name="DocumentNumber" ma:index="2" nillable="true" ma:displayName="Document Number" ma:internalName="DocumentNumber" ma:readOnly="false">
      <xsd:simpleType>
        <xsd:restriction base="dms:Text">
          <xsd:maxLength value="255"/>
        </xsd:restriction>
      </xsd:simpleType>
    </xsd:element>
    <xsd:element name="OperatingUnit" ma:index="3" nillable="true" ma:displayName="Operating Unit" ma:list="{408c1df7-5d69-4e16-8e6d-326b0541c40b}" ma:internalName="OperatingUni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DocumentType" ma:index="4" nillable="true" ma:displayName="Document Type" ma:list="{1c48b5bf-0974-421e-bb07-750e31ef1078}" ma:internalName="DocumentType" ma:readOnly="false" ma:showField="Title">
      <xsd:simpleType>
        <xsd:restriction base="dms:Lookup"/>
      </xsd:simpleType>
    </xsd:element>
    <xsd:element name="BusinessCategory" ma:index="6" nillable="true" ma:displayName="Business Category" ma:list="{5ebf9878-a47b-41a7-891d-3ee65e8a53fc}" ma:internalName="BusinessCategory" ma:readOnly="false" ma:showField="Title" ma:web="9bffaa1d-934b-4b12-99d2-5e44e11eb249">
      <xsd:complexType>
        <xsd:complexContent>
          <xsd:extension base="dms:MultiChoiceLookup">
            <xsd:sequence>
              <xsd:element name="Value" type="dms:Lookup" maxOccurs="unbounded" minOccurs="0" nillable="true"/>
            </xsd:sequence>
          </xsd:extension>
        </xsd:complexContent>
      </xsd:complexType>
    </xsd:element>
    <xsd:element name="RevisionDate" ma:index="7" nillable="true" ma:displayName="Revision Date" ma:default="[today]" ma:format="DateOnly" ma:internalName="RevisionDate" ma:readOnly="false">
      <xsd:simpleType>
        <xsd:restriction base="dms:DateTime"/>
      </xsd:simpleType>
    </xsd:element>
    <xsd:element name="RevisionNumber" ma:index="8" nillable="true" ma:displayName="Revision Number" ma:decimals="0" ma:internalName="RevisionNumber" ma:readOnly="false" ma:percentage="FALSE">
      <xsd:simpleType>
        <xsd:restriction base="dms:Number"/>
      </xsd:simpleType>
    </xsd:element>
    <xsd:element name="Sponsors" ma:index="11" nillable="true" ma:displayName="Sponsors" ma:SharePointGroup="3743" ma:internalName="Sponso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oles" ma:index="12" nillable="true" ma:displayName="Roles involved in this process" ma:list="{761fd719-c50f-4b1a-9cc6-81218e2d2e29}" ma:internalName="Roles" ma:readOnly="false" ma:showField="Title" ma:web="9bffaa1d-934b-4b12-99d2-5e44e11eb249">
      <xsd:complexType>
        <xsd:complexContent>
          <xsd:extension base="dms:MultiChoiceLookup">
            <xsd:sequence>
              <xsd:element name="Value" type="dms:Lookup" maxOccurs="unbounded" minOccurs="0" nillable="true"/>
            </xsd:sequence>
          </xsd:extension>
        </xsd:complexContent>
      </xsd:complexType>
    </xsd:element>
    <xsd:element name="IMSVersion" ma:index="13" nillable="true" ma:displayName="Version" ma:internalName="IMSVersion" ma:readOnly="false">
      <xsd:simpleType>
        <xsd:restriction base="dms:Text"/>
      </xsd:simpleType>
    </xsd:element>
    <xsd:element name="VersionDate" ma:index="14" nillable="true" ma:displayName="Version Date" ma:default="[today]" ma:format="DateOnly" ma:internalName="VersionDate" ma:readOnly="false">
      <xsd:simpleType>
        <xsd:restriction base="dms:DateTime"/>
      </xsd:simpleType>
    </xsd:element>
    <xsd:element name="Topic" ma:index="15" nillable="true" ma:displayName="Topic" ma:list="{5fd6388e-2f96-43cc-9d41-62c8dfa15fe8}" ma:internalName="Topic" ma:readOnly="false" ma:showField="Title">
      <xsd:complexType>
        <xsd:complexContent>
          <xsd:extension base="dms:MultiChoiceLookup">
            <xsd:sequence>
              <xsd:element name="Value" type="dms:Lookup" maxOccurs="unbounded" minOccurs="0" nillable="true"/>
            </xsd:sequence>
          </xsd:extension>
        </xsd:complexContent>
      </xsd:complexType>
    </xsd:element>
    <xsd:element name="RailSMSElement" ma:index="16" nillable="true" ma:displayName="Rail SMS Element" ma:list="{3b3a8dd7-360d-49dd-9596-19c42fae2a5f}" ma:internalName="RailSMSElemen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Country" ma:index="20" nillable="true" ma:displayName="Country" ma:internalName="Country">
      <xsd:complexType>
        <xsd:complexContent>
          <xsd:extension base="dms:MultiChoice">
            <xsd:sequence>
              <xsd:element name="Value" maxOccurs="unbounded" minOccurs="0" nillable="true">
                <xsd:simpleType>
                  <xsd:restriction base="dms:Choice">
                    <xsd:enumeration value="Australia"/>
                    <xsd:enumeration value="Malaysia"/>
                    <xsd:enumeration value="Singapore"/>
                    <xsd:enumeration value="Hong Kong"/>
                    <xsd:enumeration value="Kenya"/>
                    <xsd:enumeration value="China"/>
                    <xsd:enumeration value="Canada"/>
                  </xsd:restriction>
                </xsd:simpleType>
              </xsd:element>
            </xsd:sequence>
          </xsd:extension>
        </xsd:complexContent>
      </xsd:complexType>
    </xsd:element>
    <xsd:element name="Business_x0020_Process" ma:index="22" nillable="true" ma:displayName="Business Process" ma:format="Dropdown" ma:internalName="Business_x0020_Process">
      <xsd:simpleType>
        <xsd:restriction base="dms:Choice">
          <xsd:enumeration value="Win"/>
          <xsd:enumeration value="Launch"/>
          <xsd:enumeration value="Deliver"/>
          <xsd:enumeration value="Complete"/>
        </xsd:restriction>
      </xsd:simple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0" nillable="true" ma:displayName="Shared With Details" ma:description="" ma:internalName="SharedWithDetails" ma:readOnly="true">
      <xsd:simpleType>
        <xsd:restriction base="dms:Note">
          <xsd:maxLength value="255"/>
        </xsd:restriction>
      </xsd:simpleType>
    </xsd:element>
    <xsd:element name="LastSharedByUser" ma:index="31" nillable="true" ma:displayName="Last Shared By User" ma:description="" ma:internalName="LastSharedByUser" ma:readOnly="true">
      <xsd:simpleType>
        <xsd:restriction base="dms:Note">
          <xsd:maxLength value="255"/>
        </xsd:restriction>
      </xsd:simpleType>
    </xsd:element>
    <xsd:element name="LastSharedByTime" ma:index="33"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05fb3d9-11b2-432c-a186-83496ebc68ab" elementFormDefault="qualified">
    <xsd:import namespace="http://schemas.microsoft.com/office/2006/documentManagement/types"/>
    <xsd:import namespace="http://schemas.microsoft.com/office/infopath/2007/PartnerControls"/>
    <xsd:element name="Change_x0020_Email_x0020_Description" ma:index="9" nillable="true" ma:displayName="Change Email Description" ma:internalName="Change_x0020_Email_x0020_Description">
      <xsd:simpleType>
        <xsd:restriction base="dms:Text">
          <xsd:maxLength value="255"/>
        </xsd:restriction>
      </xsd:simpleType>
    </xsd:element>
    <xsd:element name="Send_x0020_Change_x0020_Email" ma:index="10" nillable="true" ma:displayName="Send Change Email" ma:default="0" ma:internalName="Send_x0020_Change_x0020_Email">
      <xsd:simpleType>
        <xsd:restriction base="dms:Boolean"/>
      </xsd:simpleType>
    </xsd:element>
    <xsd:element name="Owner" ma:index="17" nillable="true" ma:displayName="Owner" ma:default="Operations" ma:format="Dropdown" ma:internalName="Owner" ma:readOnly="false">
      <xsd:simpleType>
        <xsd:union memberTypes="dms:Text">
          <xsd:simpleType>
            <xsd:restriction base="dms:Choice">
              <xsd:enumeration value="Operations"/>
              <xsd:enumeration value="Group"/>
            </xsd:restriction>
          </xsd:simpleType>
        </xsd:union>
      </xsd:simpleType>
    </xsd:element>
    <xsd:element name="Word_x0020_Version_x0020_Link" ma:index="25" nillable="true" ma:displayName="Word Version Link" ma:format="Hyperlink" ma:internalName="Word_x0020_Version_x0020_Link">
      <xsd:complexType>
        <xsd:complexContent>
          <xsd:extension base="dms:URL">
            <xsd:sequence>
              <xsd:element name="Url" type="dms:ValidUrl" minOccurs="0" nillable="true"/>
              <xsd:element name="Description" type="xsd:string" nillable="true"/>
            </xsd:sequence>
          </xsd:extension>
        </xsd:complexContent>
      </xsd:complexType>
    </xsd:element>
    <xsd:element name="Notify_x0020_of_x0020_Changes" ma:index="26" nillable="true" ma:displayName="Notify of Changes" ma:internalName="Notify_x0020_of_x0020_Change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FastMetadata" ma:index="27" nillable="true" ma:displayName="MediaServiceFastMetadata" ma:description="" ma:hidden="true" ma:internalName="MediaServiceFastMetadata" ma:readOnly="true">
      <xsd:simpleType>
        <xsd:restriction base="dms:Note"/>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GenerationTime" ma:index="37" nillable="true" ma:displayName="MediaServiceGenerationTime" ma:hidden="true" ma:internalName="MediaServiceGenerationTime" ma:readOnly="true">
      <xsd:simpleType>
        <xsd:restriction base="dms:Text"/>
      </xsd:simpleType>
    </xsd:element>
    <xsd:element name="MediaServiceMetadata" ma:index="39" nillable="true" ma:displayName="MediaServiceMetadata" ma:description="" ma:hidden="true" ma:internalName="MediaServiceMetadata" ma:readOnly="true">
      <xsd:simpleType>
        <xsd:restriction base="dms:Note"/>
      </xsd:simpleType>
    </xsd:element>
    <xsd:element name="Notify_x0020_QUA_x0020_changes" ma:index="41" nillable="true" ma:displayName="Notify QUA changes" ma:internalName="Notify_x0020_QUA_x0020_changes">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opic xmlns="9bffaa1d-934b-4b12-99d2-5e44e11eb249">
      <Value>137</Value>
    </Topic>
    <DocumentNumber xmlns="9bffaa1d-934b-4b12-99d2-5e44e11eb249">JH-FRM-PMA-002-04</DocumentNumber>
    <Business_x0020_Process xmlns="9bffaa1d-934b-4b12-99d2-5e44e11eb249" xsi:nil="true"/>
    <Word_x0020_Version_x0020_Link xmlns="405fb3d9-11b2-432c-a186-83496ebc68ab">
      <Url xsi:nil="true"/>
      <Description xsi:nil="true"/>
    </Word_x0020_Version_x0020_Link>
    <Sponsors xmlns="9bffaa1d-934b-4b12-99d2-5e44e11eb249">
      <UserInfo>
        <DisplayName>Nick Windmeyer</DisplayName>
        <AccountId>91</AccountId>
        <AccountType/>
      </UserInfo>
    </Sponsors>
    <Roles xmlns="9bffaa1d-934b-4b12-99d2-5e44e11eb249"/>
    <RevisionNumber xmlns="9bffaa1d-934b-4b12-99d2-5e44e11eb249">5</RevisionNumber>
    <IMSVersion xmlns="9bffaa1d-934b-4b12-99d2-5e44e11eb249" xsi:nil="true"/>
    <OperatingUnit xmlns="9bffaa1d-934b-4b12-99d2-5e44e11eb249">
      <Value>2</Value>
    </OperatingUnit>
    <Country xmlns="9bffaa1d-934b-4b12-99d2-5e44e11eb249"/>
    <DocumentType xmlns="9bffaa1d-934b-4b12-99d2-5e44e11eb249">7</DocumentType>
    <BusinessCategory xmlns="9bffaa1d-934b-4b12-99d2-5e44e11eb249">
      <Value>6</Value>
    </BusinessCategory>
    <Owner xmlns="405fb3d9-11b2-432c-a186-83496ebc68ab">Group</Owner>
    <RevisionDate xmlns="9bffaa1d-934b-4b12-99d2-5e44e11eb249">2018-07-31T14:00:00+00:00</RevisionDate>
    <RailSMSElement xmlns="9bffaa1d-934b-4b12-99d2-5e44e11eb249"/>
    <_ip_UnifiedCompliancePolicyUIAction xmlns="http://schemas.microsoft.com/sharepoint/v3" xsi:nil="true"/>
    <_ip_UnifiedCompliancePolicyProperties xmlns="http://schemas.microsoft.com/sharepoint/v3" xsi:nil="true"/>
    <Notify_x0020_of_x0020_Changes xmlns="405fb3d9-11b2-432c-a186-83496ebc68ab">
      <Url xsi:nil="true"/>
      <Description xsi:nil="true"/>
    </Notify_x0020_of_x0020_Changes>
    <VersionDate xmlns="9bffaa1d-934b-4b12-99d2-5e44e11eb249">2018-10-23T00:48:40+00:00</VersionDate>
    <Change_x0020_Email_x0020_Description xmlns="405fb3d9-11b2-432c-a186-83496ebc68ab" xsi:nil="true"/>
    <Send_x0020_Change_x0020_Email xmlns="405fb3d9-11b2-432c-a186-83496ebc68ab">false</Send_x0020_Change_x0020_Email>
    <Notify_x0020_QUA_x0020_changes xmlns="405fb3d9-11b2-432c-a186-83496ebc68ab">
      <Url xsi:nil="true"/>
      <Description xsi:nil="true"/>
    </Notify_x0020_QUA_x0020_changes>
    <IconOverlay xmlns="http://schemas.microsoft.com/sharepoint/v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E5CD8B-4B3C-4E0E-99B7-7405D5B04423}">
  <ds:schemaRefs>
    <ds:schemaRef ds:uri="http://schemas.microsoft.com/office/2006/metadata/customXsn"/>
  </ds:schemaRefs>
</ds:datastoreItem>
</file>

<file path=customXml/itemProps2.xml><?xml version="1.0" encoding="utf-8"?>
<ds:datastoreItem xmlns:ds="http://schemas.openxmlformats.org/officeDocument/2006/customXml" ds:itemID="{A98AD997-CFC2-43CB-89AE-51CA9087E6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bffaa1d-934b-4b12-99d2-5e44e11eb249"/>
    <ds:schemaRef ds:uri="405fb3d9-11b2-432c-a186-83496ebc68ab"/>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742B47-5FC7-4A4D-8442-E9021A83FC48}">
  <ds:schemaRefs>
    <ds:schemaRef ds:uri="http://schemas.openxmlformats.org/package/2006/metadata/core-properties"/>
    <ds:schemaRef ds:uri="http://purl.org/dc/elements/1.1/"/>
    <ds:schemaRef ds:uri="http://schemas.microsoft.com/office/2006/documentManagement/types"/>
    <ds:schemaRef ds:uri="405fb3d9-11b2-432c-a186-83496ebc68ab"/>
    <ds:schemaRef ds:uri="http://schemas.microsoft.com/office/2006/metadata/properties"/>
    <ds:schemaRef ds:uri="9bffaa1d-934b-4b12-99d2-5e44e11eb249"/>
    <ds:schemaRef ds:uri="http://purl.org/dc/dcmitype/"/>
    <ds:schemaRef ds:uri="http://purl.org/dc/terms/"/>
    <ds:schemaRef ds:uri="http://schemas.microsoft.com/office/infopath/2007/PartnerControls"/>
    <ds:schemaRef ds:uri="http://schemas.microsoft.com/sharepoint/v4"/>
    <ds:schemaRef ds:uri="http://schemas.microsoft.com/sharepoint/v3"/>
    <ds:schemaRef ds:uri="http://www.w3.org/XML/1998/namespace"/>
  </ds:schemaRefs>
</ds:datastoreItem>
</file>

<file path=customXml/itemProps4.xml><?xml version="1.0" encoding="utf-8"?>
<ds:datastoreItem xmlns:ds="http://schemas.openxmlformats.org/officeDocument/2006/customXml" ds:itemID="{893F71A5-6637-4462-919A-432B65B46C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BOM csv data</vt:lpstr>
      <vt:lpstr>Climate</vt:lpstr>
      <vt:lpstr>Weather Calculation</vt:lpstr>
      <vt:lpstr>Critical Site Works Summary</vt:lpstr>
      <vt:lpstr>Rain+Other Factors</vt:lpstr>
      <vt:lpstr>Project Site Calendar</vt:lpstr>
      <vt:lpstr>Logic Review</vt:lpstr>
      <vt:lpstr>DaysPerYearRatio</vt:lpstr>
      <vt:lpstr>HoursPerDayRatio</vt:lpstr>
      <vt:lpstr>'Critical Site Works Summary'!Print_Area</vt:lpstr>
      <vt:lpstr>'Weather Calculation'!Print_Area</vt:lpstr>
    </vt:vector>
  </TitlesOfParts>
  <Company>John Holland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Claridge</dc:creator>
  <cp:lastModifiedBy>Babatunde Fadipe</cp:lastModifiedBy>
  <cp:lastPrinted>2018-04-24T04:12:32Z</cp:lastPrinted>
  <dcterms:created xsi:type="dcterms:W3CDTF">2017-07-24T08:21:19Z</dcterms:created>
  <dcterms:modified xsi:type="dcterms:W3CDTF">2026-10-17T16:03:03Z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0x010100E54245F13D69384489231BE8481B7ED801001857993E55B1534693AF6652CD2FF45D</vt:lpwstr>
  </property>
  <property fmtid="{D5CDD505-2E9C-101B-9397-08002B2CF9AE}" pid="3" name="Revision Comments">
    <vt:lpwstr>Updated with new weather map</vt:lpwstr>
  </property>
  <property fmtid="{D5CDD505-2E9C-101B-9397-08002B2CF9AE}" pid="4" name="Send Email Notification?">
    <vt:bool>false</vt:bool>
  </property>
</Properties>
</file>